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1" sheetId="2" state="visible" r:id="rId4"/>
    <sheet name="S2" sheetId="3" state="visible" r:id="rId5"/>
    <sheet name="S3" sheetId="4" state="visible" r:id="rId6"/>
    <sheet name="S4" sheetId="5" state="visible" r:id="rId7"/>
    <sheet name="S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<sst xmlns="http://schemas.openxmlformats.org/spreadsheetml/2006/main" count="196" uniqueCount="140">
  <si>
    <t xml:space="preserve">Human (expert) performance per scenario</t>
  </si>
  <si>
    <t xml:space="preserve">Mean across 5 emergency physicians (2-30 years' experience), scored against the ground-truth action checklist for each scenario.</t>
  </si>
  <si>
    <t xml:space="preserve">Scenario</t>
  </si>
  <si>
    <t xml:space="preserve">Precision</t>
  </si>
  <si>
    <t xml:space="preserve">Recall</t>
  </si>
  <si>
    <t xml:space="preserve">F1 score</t>
  </si>
  <si>
    <t xml:space="preserve">N items</t>
  </si>
  <si>
    <t xml:space="preserve">Mean items addressed</t>
  </si>
  <si>
    <t xml:space="preserve">S1 - Boating Trauma</t>
  </si>
  <si>
    <t xml:space="preserve">S2 - SBIRT / Fall + Alcohol</t>
  </si>
  <si>
    <t xml:space="preserve">S3 - Spinal Cord Injury / Shock</t>
  </si>
  <si>
    <t xml:space="preserve">S4 - Atrial Fibrillation</t>
  </si>
  <si>
    <t xml:space="preserve">S5 - Acetaminophen Overdose</t>
  </si>
  <si>
    <t xml:space="preserve">OVERALL (mean of scenarios)</t>
  </si>
  <si>
    <t xml:space="preserve">Methodology / coding rules</t>
  </si>
  <si>
    <t xml:space="preserve">1. Ground truth = the list of expected clinical actions/decisions in each scenario's evaluation checklist.</t>
  </si>
  <si>
    <t xml:space="preserve">   Pure simulator-scripting rows (e.g. 'BP drops to 70/30 if blood delayed', 'AUDIT-C = 8',</t>
  </si>
  <si>
    <t xml:space="preserve">   'acetaminophen level 567', EMS vitals) were excluded as they are scenario outcomes, not decisions to grade.</t>
  </si>
  <si>
    <t xml:space="preserve">2. Each doctor's free-text answer was coded item-by-item: 1 = action addressed, 0 = not addressed (see scenario tabs).</t>
  </si>
  <si>
    <t xml:space="preserve">3. TP = checklist action addressed; FN = checklist action missed; FP = an incorrect/contradictory recommendation.</t>
  </si>
  <si>
    <t xml:space="preserve">4. The five expert answers contained no guideline-discordant recommendations, so FP = 0 throughout.</t>
  </si>
  <si>
    <t xml:space="preserve">   Consequently Precision = 1.000 for every expert, and F1 is driven entirely by Recall (completeness).</t>
  </si>
  <si>
    <t xml:space="preserve">   The FP cells in each scenario tab are editable if you wish to re-score under a different convention.</t>
  </si>
  <si>
    <t xml:space="preserve">5. Reported figures are the mean of the five physicians per scenario. Because each doctor is scored on the</t>
  </si>
  <si>
    <t xml:space="preserve">   same N items, the per-doctor mean equals the micro (pooled) average.</t>
  </si>
  <si>
    <t xml:space="preserve">6. Coding of brief free-text against a fine-grained checklist is a matter of judgement; the per-item tabs are</t>
  </si>
  <si>
    <t xml:space="preserve">   provided so any cell can be reviewed and adjusted, and all metrics recompute automatically.</t>
  </si>
  <si>
    <t xml:space="preserve">S1 - Boating Trauma  —  expert answers vs. ground-truth checklist</t>
  </si>
  <si>
    <t xml:space="preserve">Ground-truth action (1 = addressed, 0 = not addressed)</t>
  </si>
  <si>
    <t xml:space="preserve">D1 (2y)</t>
  </si>
  <si>
    <t xml:space="preserve">D2 (5y)</t>
  </si>
  <si>
    <t xml:space="preserve">D3 (10y)</t>
  </si>
  <si>
    <t xml:space="preserve">D4 (18y)</t>
  </si>
  <si>
    <t xml:space="preserve">D5 (30y)</t>
  </si>
  <si>
    <t xml:space="preserve">Mean</t>
  </si>
  <si>
    <t xml:space="preserve">Trauma activation</t>
  </si>
  <si>
    <t xml:space="preserve">ABCDE primary survey</t>
  </si>
  <si>
    <t xml:space="preserve">Monitoring / reassess vitals</t>
  </si>
  <si>
    <t xml:space="preserve">Tourniquet / limb haemorrhage control</t>
  </si>
  <si>
    <t xml:space="preserve">Pelvic binder</t>
  </si>
  <si>
    <t xml:space="preserve">Second large-bore IV / IO access</t>
  </si>
  <si>
    <t xml:space="preserve">Blood products administration</t>
  </si>
  <si>
    <t xml:space="preserve">Massive haemorrhage protocol (MTP)</t>
  </si>
  <si>
    <t xml:space="preserve">TXA</t>
  </si>
  <si>
    <t xml:space="preserve">Analgesia</t>
  </si>
  <si>
    <t xml:space="preserve">Imaging: FAST + portable X-ray, avoid CT while unstable</t>
  </si>
  <si>
    <t xml:space="preserve">Labs / group &amp; screen</t>
  </si>
  <si>
    <t xml:space="preserve">Resuscitate before intubation (do not intubate first)</t>
  </si>
  <si>
    <t xml:space="preserve">Early surgical consultation</t>
  </si>
  <si>
    <t xml:space="preserve">Disposition to OR</t>
  </si>
  <si>
    <t xml:space="preserve">Antibiotics + tetanus / wound cover</t>
  </si>
  <si>
    <t xml:space="preserve">Items in checklist (N)</t>
  </si>
  <si>
    <t xml:space="preserve">True Positives  (TP = addressed)</t>
  </si>
  <si>
    <t xml:space="preserve">False Negatives (FN = missed)</t>
  </si>
  <si>
    <t xml:space="preserve">False Positives (FP = incorrect rec.)</t>
  </si>
  <si>
    <t xml:space="preserve">Precision  = TP/(TP+FP)</t>
  </si>
  <si>
    <t xml:space="preserve">Recall     = TP/(TP+FN)</t>
  </si>
  <si>
    <t xml:space="preserve">F1 score   = 2PR/(P+R)</t>
  </si>
  <si>
    <t xml:space="preserve">S2 - SBIRT / Fall + Alcohol  —  expert answers vs. ground-truth checklist</t>
  </si>
  <si>
    <t xml:space="preserve">Trauma evaluation / ABCDE</t>
  </si>
  <si>
    <t xml:space="preserve">Cervical-spine consideration (collar)</t>
  </si>
  <si>
    <t xml:space="preserve">CT head (+/- C-spine)</t>
  </si>
  <si>
    <t xml:space="preserve">Pain control / analgesia</t>
  </si>
  <si>
    <t xml:space="preserve">Opioid-sparing analgesia (OUD history)</t>
  </si>
  <si>
    <t xml:space="preserve">Neuro exam / reassessment</t>
  </si>
  <si>
    <t xml:space="preserve">Recognise alcohol-related injury / risky use</t>
  </si>
  <si>
    <t xml:space="preserve">Validated alcohol screening (AUDIT-C/CAGE)</t>
  </si>
  <si>
    <t xml:space="preserve">Explain screening / non-judgmental communication</t>
  </si>
  <si>
    <t xml:space="preserve">Brief intervention (motivational)</t>
  </si>
  <si>
    <t xml:space="preserve">Referral to treatment / social work</t>
  </si>
  <si>
    <t xml:space="preserve">Disposition (not discharge without SBIRT)</t>
  </si>
  <si>
    <t xml:space="preserve">S3 - Spinal Cord Injury / Shock  —  expert answers vs. ground-truth checklist</t>
  </si>
  <si>
    <t xml:space="preserve">Recognise critical deterioration</t>
  </si>
  <si>
    <t xml:space="preserve">Consider shock differential</t>
  </si>
  <si>
    <t xml:space="preserve">Diagnose neurogenic shock</t>
  </si>
  <si>
    <t xml:space="preserve">Cite neurogenic clues (brady+warm+SCI)</t>
  </si>
  <si>
    <t xml:space="preserve">Rule out haemorrhage (FAST/POCUS)</t>
  </si>
  <si>
    <t xml:space="preserve">Rule out obstructive cause (POCUS/CXR)</t>
  </si>
  <si>
    <t xml:space="preserve">Avoid blind crystalloid / no fluid response</t>
  </si>
  <si>
    <t xml:space="preserve">Norepinephrine escalation</t>
  </si>
  <si>
    <t xml:space="preserve">Add second vasopressor (MAP&gt;65)</t>
  </si>
  <si>
    <t xml:space="preserve">Epinephrine for bradycardia</t>
  </si>
  <si>
    <t xml:space="preserve">MAP / cord-perfusion target</t>
  </si>
  <si>
    <t xml:space="preserve">Recognise respiratory failure</t>
  </si>
  <si>
    <t xml:space="preserve">NIPPV trial</t>
  </si>
  <si>
    <t xml:space="preserve">Intubation decision</t>
  </si>
  <si>
    <t xml:space="preserve">Airway plan / contingencies</t>
  </si>
  <si>
    <t xml:space="preserve">Spinal precautions on intubation</t>
  </si>
  <si>
    <t xml:space="preserve">Consultant help (spine/trauma/ICU/RT)</t>
  </si>
  <si>
    <t xml:space="preserve">Post-intubation deterioration approach (DOPES)</t>
  </si>
  <si>
    <t xml:space="preserve">Disconnect / manual ventilate</t>
  </si>
  <si>
    <t xml:space="preserve">Diagnose left tension pneumothorax</t>
  </si>
  <si>
    <t xml:space="preserve">POCUS / do not wait for CXR</t>
  </si>
  <si>
    <t xml:space="preserve">Needle decompression / chest tube</t>
  </si>
  <si>
    <t xml:space="preserve">S4 - Atrial Fibrillation  —  expert answers vs. ground-truth checklist</t>
  </si>
  <si>
    <t xml:space="preserve">Initial assessment + cardiac monitoring</t>
  </si>
  <si>
    <t xml:space="preserve">Recognise irregular rhythm</t>
  </si>
  <si>
    <t xml:space="preserve">Focused history</t>
  </si>
  <si>
    <t xml:space="preserve">Syncope history</t>
  </si>
  <si>
    <t xml:space="preserve">Cardiac risk factors / PMH</t>
  </si>
  <si>
    <t xml:space="preserve">Order 12-lead ECG</t>
  </si>
  <si>
    <t xml:space="preserve">Diagnose atrial fibrillation</t>
  </si>
  <si>
    <t xml:space="preserve">Describe ECG features</t>
  </si>
  <si>
    <t xml:space="preserve">Labs for reversible triggers</t>
  </si>
  <si>
    <t xml:space="preserve">Interpret labs (no major trigger)</t>
  </si>
  <si>
    <t xml:space="preserve">Assess stability (patient is stable)</t>
  </si>
  <si>
    <t xml:space="preserve">Avoid immediate electrical cardioversion</t>
  </si>
  <si>
    <t xml:space="preserve">Chronicity clue (months -&gt; long-standing)</t>
  </si>
  <si>
    <t xml:space="preserve">Discuss strategy (rhythm/anticoag/TEE)</t>
  </si>
  <si>
    <t xml:space="preserve">Anticoagulation (stroke-risk based)</t>
  </si>
  <si>
    <t xml:space="preserve">Cautious rate control</t>
  </si>
  <si>
    <t xml:space="preserve">Recognise tachy-brady / sinus pause</t>
  </si>
  <si>
    <t xml:space="preserve">Defib pads / immediate reassessment</t>
  </si>
  <si>
    <t xml:space="preserve">Discontinue rate-control drug</t>
  </si>
  <si>
    <t xml:space="preserve">Cardiology / CCU consult</t>
  </si>
  <si>
    <t xml:space="preserve">Admit with telemetry</t>
  </si>
  <si>
    <t xml:space="preserve">Pacemaker / scheduled cardioversion plan</t>
  </si>
  <si>
    <t xml:space="preserve">S5 - Acetaminophen Overdose  —  expert answers vs. ground-truth checklist</t>
  </si>
  <si>
    <t xml:space="preserve">Initial assessment / overdose history</t>
  </si>
  <si>
    <t xml:space="preserve">Confirm time of ingestion</t>
  </si>
  <si>
    <t xml:space="preserve">Confirm quantity ingested</t>
  </si>
  <si>
    <t xml:space="preserve">Estimate dose (very large)</t>
  </si>
  <si>
    <t xml:space="preserve">Ask about co-ingestions</t>
  </si>
  <si>
    <t xml:space="preserve">Physical exam (toxidrome / RUQ)</t>
  </si>
  <si>
    <t xml:space="preserve">Monitoring + vital signs</t>
  </si>
  <si>
    <t xml:space="preserve">Establish IV access</t>
  </si>
  <si>
    <t xml:space="preserve">Order ECG</t>
  </si>
  <si>
    <t xml:space="preserve">Acetaminophen serum level</t>
  </si>
  <si>
    <t xml:space="preserve">Additional labs (LFTs/INR/renal/etc.)</t>
  </si>
  <si>
    <t xml:space="preserve">Rumack-Matthew nomogram</t>
  </si>
  <si>
    <t xml:space="preserve">Poison Centre / toxicology</t>
  </si>
  <si>
    <t xml:space="preserve">Start NAC (toxic level)</t>
  </si>
  <si>
    <t xml:space="preserve">IV route of NAC</t>
  </si>
  <si>
    <t xml:space="preserve">Verbal de-escalation</t>
  </si>
  <si>
    <t xml:space="preserve">Recognise mental-health emergency</t>
  </si>
  <si>
    <t xml:space="preserve">Do not allow patient to leave untreated</t>
  </si>
  <si>
    <t xml:space="preserve">Involuntary psychiatric hold (Form 4)</t>
  </si>
  <si>
    <t xml:space="preserve">Staff/patient safety planning</t>
  </si>
  <si>
    <t xml:space="preserve">Continue NAC protocol</t>
  </si>
  <si>
    <t xml:space="preserve">Disposition: admit IM + psych consult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</si>
</sst>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S1!G25</f>
        <v>1</v>
      </c>
      <c r="C5" s="5" t="n">
        <f aca="false">S1!G26</f>
        <v>0.6875</v>
      </c>
      <c r="D5" s="5" t="n">
        <f aca="false">S1!G27</f>
        <v>0.808888888888889</v>
      </c>
      <c r="E5" s="6" t="n">
        <v>16</v>
      </c>
      <c r="F5" s="7" t="n">
        <f aca="false">C5*E5</f>
        <v>11</v>
      </c>
    </row>
    <row r="6" customFormat="false" ht="15" hidden="false" customHeight="false" outlineLevel="0" collapsed="false">
      <c r="A6" s="8" t="s">
        <v>9</v>
      </c>
      <c r="B6" s="9" t="n">
        <f aca="false">S2!G21</f>
        <v>1</v>
      </c>
      <c r="C6" s="9" t="n">
        <f aca="false">S2!G22</f>
        <v>0.65</v>
      </c>
      <c r="D6" s="9" t="n">
        <f aca="false">S2!G23</f>
        <v>0.786165413533835</v>
      </c>
      <c r="E6" s="10" t="n">
        <v>12</v>
      </c>
      <c r="F6" s="11" t="n">
        <f aca="false">C6*E6</f>
        <v>7.8</v>
      </c>
    </row>
    <row r="7" customFormat="false" ht="15" hidden="false" customHeight="false" outlineLevel="0" collapsed="false">
      <c r="A7" s="4" t="s">
        <v>10</v>
      </c>
      <c r="B7" s="5" t="n">
        <f aca="false">S3!G31</f>
        <v>1</v>
      </c>
      <c r="C7" s="5" t="n">
        <f aca="false">S3!G32</f>
        <v>0.554545454545455</v>
      </c>
      <c r="D7" s="5" t="n">
        <f aca="false">S3!G33</f>
        <v>0.712829131652661</v>
      </c>
      <c r="E7" s="6" t="n">
        <v>22</v>
      </c>
      <c r="F7" s="7" t="n">
        <f aca="false">C7*E7</f>
        <v>12.2</v>
      </c>
    </row>
    <row r="8" customFormat="false" ht="15" hidden="false" customHeight="false" outlineLevel="0" collapsed="false">
      <c r="A8" s="8" t="s">
        <v>11</v>
      </c>
      <c r="B8" s="9" t="n">
        <f aca="false">S4!G31</f>
        <v>1</v>
      </c>
      <c r="C8" s="9" t="n">
        <f aca="false">S4!G32</f>
        <v>0.627272727272727</v>
      </c>
      <c r="D8" s="9" t="n">
        <f aca="false">S4!G33</f>
        <v>0.765969089390142</v>
      </c>
      <c r="E8" s="10" t="n">
        <v>22</v>
      </c>
      <c r="F8" s="11" t="n">
        <f aca="false">C8*E8</f>
        <v>13.8</v>
      </c>
    </row>
    <row r="9" customFormat="false" ht="15" hidden="false" customHeight="false" outlineLevel="0" collapsed="false">
      <c r="A9" s="4" t="s">
        <v>12</v>
      </c>
      <c r="B9" s="5" t="n">
        <f aca="false">S5!G31</f>
        <v>1</v>
      </c>
      <c r="C9" s="5" t="n">
        <f aca="false">S5!G32</f>
        <v>0.509090909090909</v>
      </c>
      <c r="D9" s="5" t="n">
        <f aca="false">S5!G33</f>
        <v>0.670166561248155</v>
      </c>
      <c r="E9" s="6" t="n">
        <v>22</v>
      </c>
      <c r="F9" s="7" t="n">
        <f aca="false">C9*E9</f>
        <v>11.2</v>
      </c>
    </row>
    <row r="10" customFormat="false" ht="15" hidden="false" customHeight="false" outlineLevel="0" collapsed="false">
      <c r="A10" s="12" t="s">
        <v>13</v>
      </c>
      <c r="B10" s="13" t="n">
        <f aca="false">AVERAGE(B5:B9)</f>
        <v>1</v>
      </c>
      <c r="C10" s="13" t="n">
        <f aca="false">AVERAGE(C5:C9)</f>
        <v>0.605681818181818</v>
      </c>
      <c r="D10" s="13" t="n">
        <f aca="false">AVERAGE(D5:D9)</f>
        <v>0.748803816942736</v>
      </c>
      <c r="E10" s="14"/>
      <c r="F10" s="14"/>
    </row>
    <row r="13" customFormat="false" ht="15" hidden="false" customHeight="false" outlineLevel="0" collapsed="false">
      <c r="A13" s="15" t="s">
        <v>14</v>
      </c>
    </row>
    <row r="14" customFormat="false" ht="15" hidden="false" customHeight="false" outlineLevel="0" collapsed="false">
      <c r="A14" s="16" t="s">
        <v>15</v>
      </c>
    </row>
    <row r="15" customFormat="false" ht="15" hidden="false" customHeight="false" outlineLevel="0" collapsed="false">
      <c r="A15" s="16" t="s">
        <v>16</v>
      </c>
    </row>
    <row r="16" customFormat="false" ht="15" hidden="false" customHeight="false" outlineLevel="0" collapsed="false">
      <c r="A16" s="16" t="s">
        <v>17</v>
      </c>
    </row>
    <row r="17" customFormat="false" ht="15" hidden="false" customHeight="false" outlineLevel="0" collapsed="false">
      <c r="A17" s="16" t="s">
        <v>18</v>
      </c>
    </row>
    <row r="18" customFormat="false" ht="15" hidden="false" customHeight="false" outlineLevel="0" collapsed="false">
      <c r="A18" s="16" t="s">
        <v>19</v>
      </c>
    </row>
    <row r="19" customFormat="false" ht="15" hidden="false" customHeight="false" outlineLevel="0" collapsed="false">
      <c r="A19" s="16" t="s">
        <v>20</v>
      </c>
    </row>
    <row r="20" customFormat="false" ht="15" hidden="false" customHeight="false" outlineLevel="0" collapsed="false">
      <c r="A20" s="16" t="s">
        <v>21</v>
      </c>
    </row>
    <row r="21" customFormat="false" ht="15" hidden="false" customHeight="false" outlineLevel="0" collapsed="false">
      <c r="A21" s="16" t="s">
        <v>22</v>
      </c>
    </row>
    <row r="22" customFormat="false" ht="15" hidden="false" customHeight="false" outlineLevel="0" collapsed="false">
      <c r="A22" s="16" t="s">
        <v>23</v>
      </c>
    </row>
    <row r="23" customFormat="false" ht="15" hidden="false" customHeight="false" outlineLevel="0" collapsed="false">
      <c r="A23" s="16" t="s">
        <v>24</v>
      </c>
    </row>
    <row r="24" customFormat="false" ht="15" hidden="false" customHeight="false" outlineLevel="0" collapsed="false">
      <c r="A24" s="16" t="s">
        <v>25</v>
      </c>
    </row>
    <row r="25" customFormat="false" ht="15" hidden="false" customHeight="false" outlineLevel="0" collapsed="false">
      <c r="A25" s="1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27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  <row r="4" customFormat="false" ht="15" hidden="false" customHeight="false" outlineLevel="0" collapsed="false">
      <c r="A4" s="4" t="s">
        <v>35</v>
      </c>
      <c r="B4" s="6" t="n">
        <v>1</v>
      </c>
      <c r="C4" s="6" t="n">
        <v>1</v>
      </c>
      <c r="D4" s="6" t="n">
        <v>0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36</v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0</v>
      </c>
    </row>
    <row r="6" customFormat="false" ht="15" hidden="false" customHeight="false" outlineLevel="0" collapsed="false">
      <c r="A6" s="4" t="s">
        <v>37</v>
      </c>
      <c r="B6" s="6" t="n">
        <v>1</v>
      </c>
      <c r="C6" s="6" t="n">
        <v>1</v>
      </c>
      <c r="D6" s="6" t="n">
        <v>0</v>
      </c>
      <c r="E6" s="6" t="n">
        <v>0</v>
      </c>
      <c r="F6" s="6" t="n">
        <v>0</v>
      </c>
    </row>
    <row r="7" customFormat="false" ht="15" hidden="false" customHeight="false" outlineLevel="0" collapsed="false">
      <c r="A7" s="8" t="s">
        <v>38</v>
      </c>
      <c r="B7" s="10" t="n">
        <v>1</v>
      </c>
      <c r="C7" s="10" t="n">
        <v>1</v>
      </c>
      <c r="D7" s="10" t="n">
        <v>1</v>
      </c>
      <c r="E7" s="10" t="n">
        <v>1</v>
      </c>
      <c r="F7" s="10" t="n">
        <v>1</v>
      </c>
    </row>
    <row r="8" customFormat="false" ht="15" hidden="false" customHeight="false" outlineLevel="0" collapsed="false">
      <c r="A8" s="4" t="s">
        <v>39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</row>
    <row r="9" customFormat="false" ht="15" hidden="false" customHeight="false" outlineLevel="0" collapsed="false">
      <c r="A9" s="8" t="s">
        <v>40</v>
      </c>
      <c r="B9" s="10" t="n">
        <v>1</v>
      </c>
      <c r="C9" s="10" t="n">
        <v>0</v>
      </c>
      <c r="D9" s="10" t="n">
        <v>0</v>
      </c>
      <c r="E9" s="10" t="n">
        <v>0</v>
      </c>
      <c r="F9" s="10" t="n">
        <v>0</v>
      </c>
    </row>
    <row r="10" customFormat="false" ht="15" hidden="false" customHeight="false" outlineLevel="0" collapsed="false">
      <c r="A10" s="4" t="s">
        <v>41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42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</row>
    <row r="12" customFormat="false" ht="15" hidden="false" customHeight="false" outlineLevel="0" collapsed="false">
      <c r="A12" s="4" t="s">
        <v>43</v>
      </c>
      <c r="B12" s="6" t="n">
        <v>0</v>
      </c>
      <c r="C12" s="6" t="n">
        <v>1</v>
      </c>
      <c r="D12" s="6" t="n">
        <v>0</v>
      </c>
      <c r="E12" s="6" t="n">
        <v>0</v>
      </c>
      <c r="F12" s="6" t="n">
        <v>1</v>
      </c>
    </row>
    <row r="13" customFormat="false" ht="15" hidden="false" customHeight="false" outlineLevel="0" collapsed="false">
      <c r="A13" s="8" t="s">
        <v>44</v>
      </c>
      <c r="B13" s="10" t="n">
        <v>0</v>
      </c>
      <c r="C13" s="10" t="n">
        <v>1</v>
      </c>
      <c r="D13" s="10" t="n">
        <v>0</v>
      </c>
      <c r="E13" s="10" t="n">
        <v>1</v>
      </c>
      <c r="F13" s="10" t="n">
        <v>0</v>
      </c>
    </row>
    <row r="14" customFormat="false" ht="15" hidden="false" customHeight="false" outlineLevel="0" collapsed="false">
      <c r="A14" s="4" t="s">
        <v>45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46</v>
      </c>
      <c r="B15" s="10" t="n">
        <v>1</v>
      </c>
      <c r="C15" s="10" t="n">
        <v>1</v>
      </c>
      <c r="D15" s="10" t="n">
        <v>0</v>
      </c>
      <c r="E15" s="10" t="n">
        <v>1</v>
      </c>
      <c r="F15" s="10" t="n">
        <v>0</v>
      </c>
    </row>
    <row r="16" customFormat="false" ht="15" hidden="false" customHeight="false" outlineLevel="0" collapsed="false">
      <c r="A16" s="4" t="s">
        <v>47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</row>
    <row r="17" customFormat="false" ht="15" hidden="false" customHeight="false" outlineLevel="0" collapsed="false">
      <c r="A17" s="8" t="s">
        <v>48</v>
      </c>
      <c r="B17" s="10" t="n">
        <v>1</v>
      </c>
      <c r="C17" s="10" t="n">
        <v>0</v>
      </c>
      <c r="D17" s="10" t="n">
        <v>1</v>
      </c>
      <c r="E17" s="10" t="n">
        <v>1</v>
      </c>
      <c r="F17" s="10" t="n">
        <v>1</v>
      </c>
    </row>
    <row r="18" customFormat="false" ht="15" hidden="false" customHeight="false" outlineLevel="0" collapsed="false">
      <c r="A18" s="4" t="s">
        <v>49</v>
      </c>
      <c r="B18" s="6" t="n">
        <v>1</v>
      </c>
      <c r="C18" s="6" t="n">
        <v>0</v>
      </c>
      <c r="D18" s="6" t="n">
        <v>1</v>
      </c>
      <c r="E18" s="6" t="n">
        <v>1</v>
      </c>
      <c r="F18" s="6" t="n">
        <v>1</v>
      </c>
    </row>
    <row r="19" customFormat="false" ht="15" hidden="false" customHeight="false" outlineLevel="0" collapsed="false">
      <c r="A19" s="8" t="s">
        <v>50</v>
      </c>
      <c r="B19" s="10" t="n">
        <v>1</v>
      </c>
      <c r="C19" s="10" t="n">
        <v>0</v>
      </c>
      <c r="D19" s="10" t="n">
        <v>0</v>
      </c>
      <c r="E19" s="10" t="n">
        <v>0</v>
      </c>
      <c r="F19" s="10" t="n">
        <v>1</v>
      </c>
    </row>
    <row r="21" customFormat="false" ht="15" hidden="false" customHeight="false" outlineLevel="0" collapsed="false">
      <c r="A21" s="18" t="s">
        <v>51</v>
      </c>
      <c r="B21" s="19" t="n">
        <v>16</v>
      </c>
      <c r="C21" s="19" t="n">
        <v>16</v>
      </c>
      <c r="D21" s="19" t="n">
        <v>16</v>
      </c>
      <c r="E21" s="19" t="n">
        <v>16</v>
      </c>
      <c r="F21" s="19" t="n">
        <v>16</v>
      </c>
    </row>
    <row r="22" customFormat="false" ht="15" hidden="false" customHeight="false" outlineLevel="0" collapsed="false">
      <c r="A22" s="18" t="s">
        <v>52</v>
      </c>
      <c r="B22" s="19" t="n">
        <f aca="false">SUM(B4:B19)</f>
        <v>14</v>
      </c>
      <c r="C22" s="19" t="n">
        <f aca="false">SUM(C4:C19)</f>
        <v>11</v>
      </c>
      <c r="D22" s="19" t="n">
        <f aca="false">SUM(D4:D19)</f>
        <v>8</v>
      </c>
      <c r="E22" s="19" t="n">
        <f aca="false">SUM(E4:E19)</f>
        <v>11</v>
      </c>
      <c r="F22" s="19" t="n">
        <f aca="false">SUM(F4:F19)</f>
        <v>11</v>
      </c>
    </row>
    <row r="23" customFormat="false" ht="15" hidden="false" customHeight="false" outlineLevel="0" collapsed="false">
      <c r="A23" s="18" t="s">
        <v>53</v>
      </c>
      <c r="B23" s="19" t="n">
        <f aca="false">B21-B22</f>
        <v>2</v>
      </c>
      <c r="C23" s="19" t="n">
        <f aca="false">C21-C22</f>
        <v>5</v>
      </c>
      <c r="D23" s="19" t="n">
        <f aca="false">D21-D22</f>
        <v>8</v>
      </c>
      <c r="E23" s="19" t="n">
        <f aca="false">E21-E22</f>
        <v>5</v>
      </c>
      <c r="F23" s="19" t="n">
        <f aca="false">F21-F22</f>
        <v>5</v>
      </c>
    </row>
    <row r="24" customFormat="false" ht="15" hidden="false" customHeight="false" outlineLevel="0" collapsed="false">
      <c r="A24" s="18" t="s">
        <v>54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v>0</v>
      </c>
    </row>
    <row r="25" customFormat="false" ht="15" hidden="false" customHeight="false" outlineLevel="0" collapsed="false">
      <c r="A25" s="18" t="s">
        <v>55</v>
      </c>
      <c r="B25" s="20" t="n">
        <f aca="false">IFERROR(B22/(B22+B24),0)</f>
        <v>1</v>
      </c>
      <c r="C25" s="20" t="n">
        <f aca="false">IFERROR(C22/(C22+C24),0)</f>
        <v>1</v>
      </c>
      <c r="D25" s="20" t="n">
        <f aca="false">IFERROR(D22/(D22+D24),0)</f>
        <v>1</v>
      </c>
      <c r="E25" s="20" t="n">
        <f aca="false">IFERROR(E22/(E22+E24),0)</f>
        <v>1</v>
      </c>
      <c r="F25" s="20" t="n">
        <f aca="false">IFERROR(F22/(F22+F24),0)</f>
        <v>1</v>
      </c>
      <c r="G25" s="21" t="n">
        <f aca="false">AVERAGE(B25:F25)</f>
        <v>1</v>
      </c>
    </row>
    <row r="26" customFormat="false" ht="15" hidden="false" customHeight="false" outlineLevel="0" collapsed="false">
      <c r="A26" s="18" t="s">
        <v>56</v>
      </c>
      <c r="B26" s="20" t="n">
        <f aca="false">IFERROR(B22/(B22+B23),0)</f>
        <v>0.875</v>
      </c>
      <c r="C26" s="20" t="n">
        <f aca="false">IFERROR(C22/(C22+C23),0)</f>
        <v>0.6875</v>
      </c>
      <c r="D26" s="20" t="n">
        <f aca="false">IFERROR(D22/(D22+D23),0)</f>
        <v>0.5</v>
      </c>
      <c r="E26" s="20" t="n">
        <f aca="false">IFERROR(E22/(E22+E23),0)</f>
        <v>0.6875</v>
      </c>
      <c r="F26" s="20" t="n">
        <f aca="false">IFERROR(F22/(F22+F23),0)</f>
        <v>0.6875</v>
      </c>
      <c r="G26" s="21" t="n">
        <f aca="false">AVERAGE(B26:F26)</f>
        <v>0.6875</v>
      </c>
    </row>
    <row r="27" customFormat="false" ht="15" hidden="false" customHeight="false" outlineLevel="0" collapsed="false">
      <c r="A27" s="18" t="s">
        <v>57</v>
      </c>
      <c r="B27" s="20" t="n">
        <f aca="false">IFERROR(2*B25*B26/(B25+B26),0)</f>
        <v>0.933333333333333</v>
      </c>
      <c r="C27" s="20" t="n">
        <f aca="false">IFERROR(2*C25*C26/(C25+C26),0)</f>
        <v>0.814814814814815</v>
      </c>
      <c r="D27" s="20" t="n">
        <f aca="false">IFERROR(2*D25*D26/(D25+D26),0)</f>
        <v>0.666666666666667</v>
      </c>
      <c r="E27" s="20" t="n">
        <f aca="false">IFERROR(2*E25*E26/(E25+E26),0)</f>
        <v>0.814814814814815</v>
      </c>
      <c r="F27" s="20" t="n">
        <f aca="false">IFERROR(2*F25*F26/(F25+F26),0)</f>
        <v>0.814814814814815</v>
      </c>
      <c r="G27" s="21" t="n">
        <f aca="false">AVERAGE(B27:F27)</f>
        <v>0.808888888888889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58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  <row r="4" customFormat="false" ht="15" hidden="false" customHeight="false" outlineLevel="0" collapsed="false">
      <c r="A4" s="4" t="s">
        <v>59</v>
      </c>
      <c r="B4" s="6" t="n">
        <v>1</v>
      </c>
      <c r="C4" s="6" t="n">
        <v>1</v>
      </c>
      <c r="D4" s="6" t="n">
        <v>0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60</v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1</v>
      </c>
    </row>
    <row r="6" customFormat="false" ht="15" hidden="false" customHeight="false" outlineLevel="0" collapsed="false">
      <c r="A6" s="4" t="s">
        <v>61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</row>
    <row r="7" customFormat="false" ht="15" hidden="false" customHeight="false" outlineLevel="0" collapsed="false">
      <c r="A7" s="8" t="s">
        <v>62</v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</row>
    <row r="8" customFormat="false" ht="15" hidden="false" customHeight="false" outlineLevel="0" collapsed="false">
      <c r="A8" s="4" t="s">
        <v>63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 customFormat="false" ht="15" hidden="false" customHeight="false" outlineLevel="0" collapsed="false">
      <c r="A9" s="8" t="s">
        <v>64</v>
      </c>
      <c r="B9" s="10" t="n">
        <v>1</v>
      </c>
      <c r="C9" s="10" t="n">
        <v>1</v>
      </c>
      <c r="D9" s="10" t="n">
        <v>1</v>
      </c>
      <c r="E9" s="10" t="n">
        <v>0</v>
      </c>
      <c r="F9" s="10" t="n">
        <v>0</v>
      </c>
    </row>
    <row r="10" customFormat="false" ht="15" hidden="false" customHeight="false" outlineLevel="0" collapsed="false">
      <c r="A10" s="4" t="s">
        <v>65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66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</row>
    <row r="12" customFormat="false" ht="15" hidden="false" customHeight="false" outlineLevel="0" collapsed="false">
      <c r="A12" s="4" t="s">
        <v>67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</row>
    <row r="13" customFormat="false" ht="15" hidden="false" customHeight="false" outlineLevel="0" collapsed="false">
      <c r="A13" s="8" t="s">
        <v>68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</row>
    <row r="14" customFormat="false" ht="15" hidden="false" customHeight="false" outlineLevel="0" collapsed="false">
      <c r="A14" s="4" t="s">
        <v>69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70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7" customFormat="false" ht="15" hidden="false" customHeight="false" outlineLevel="0" collapsed="false">
      <c r="A17" s="18" t="s">
        <v>51</v>
      </c>
      <c r="B17" s="19" t="n">
        <v>12</v>
      </c>
      <c r="C17" s="19" t="n">
        <v>12</v>
      </c>
      <c r="D17" s="19" t="n">
        <v>12</v>
      </c>
      <c r="E17" s="19" t="n">
        <v>12</v>
      </c>
      <c r="F17" s="19" t="n">
        <v>12</v>
      </c>
    </row>
    <row r="18" customFormat="false" ht="15" hidden="false" customHeight="false" outlineLevel="0" collapsed="false">
      <c r="A18" s="18" t="s">
        <v>52</v>
      </c>
      <c r="B18" s="19" t="n">
        <f aca="false">SUM(B4:B15)</f>
        <v>9</v>
      </c>
      <c r="C18" s="19" t="n">
        <f aca="false">SUM(C4:C15)</f>
        <v>8</v>
      </c>
      <c r="D18" s="19" t="n">
        <f aca="false">SUM(D4:D15)</f>
        <v>7</v>
      </c>
      <c r="E18" s="19" t="n">
        <f aca="false">SUM(E4:E15)</f>
        <v>7</v>
      </c>
      <c r="F18" s="19" t="n">
        <f aca="false">SUM(F4:F15)</f>
        <v>8</v>
      </c>
    </row>
    <row r="19" customFormat="false" ht="15" hidden="false" customHeight="false" outlineLevel="0" collapsed="false">
      <c r="A19" s="18" t="s">
        <v>53</v>
      </c>
      <c r="B19" s="19" t="n">
        <f aca="false">B17-B18</f>
        <v>3</v>
      </c>
      <c r="C19" s="19" t="n">
        <f aca="false">C17-C18</f>
        <v>4</v>
      </c>
      <c r="D19" s="19" t="n">
        <f aca="false">D17-D18</f>
        <v>5</v>
      </c>
      <c r="E19" s="19" t="n">
        <f aca="false">E17-E18</f>
        <v>5</v>
      </c>
      <c r="F19" s="19" t="n">
        <f aca="false">F17-F18</f>
        <v>4</v>
      </c>
    </row>
    <row r="20" customFormat="false" ht="15" hidden="false" customHeight="false" outlineLevel="0" collapsed="false">
      <c r="A20" s="18" t="s">
        <v>54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</row>
    <row r="21" customFormat="false" ht="15" hidden="false" customHeight="false" outlineLevel="0" collapsed="false">
      <c r="A21" s="18" t="s">
        <v>55</v>
      </c>
      <c r="B21" s="20" t="n">
        <f aca="false">IFERROR(B18/(B18+B20),0)</f>
        <v>1</v>
      </c>
      <c r="C21" s="20" t="n">
        <f aca="false">IFERROR(C18/(C18+C20),0)</f>
        <v>1</v>
      </c>
      <c r="D21" s="20" t="n">
        <f aca="false">IFERROR(D18/(D18+D20),0)</f>
        <v>1</v>
      </c>
      <c r="E21" s="20" t="n">
        <f aca="false">IFERROR(E18/(E18+E20),0)</f>
        <v>1</v>
      </c>
      <c r="F21" s="20" t="n">
        <f aca="false">IFERROR(F18/(F18+F20),0)</f>
        <v>1</v>
      </c>
      <c r="G21" s="21" t="n">
        <f aca="false">AVERAGE(B21:F21)</f>
        <v>1</v>
      </c>
    </row>
    <row r="22" customFormat="false" ht="15" hidden="false" customHeight="false" outlineLevel="0" collapsed="false">
      <c r="A22" s="18" t="s">
        <v>56</v>
      </c>
      <c r="B22" s="20" t="n">
        <f aca="false">IFERROR(B18/(B18+B19),0)</f>
        <v>0.75</v>
      </c>
      <c r="C22" s="20" t="n">
        <f aca="false">IFERROR(C18/(C18+C19),0)</f>
        <v>0.666666666666667</v>
      </c>
      <c r="D22" s="20" t="n">
        <f aca="false">IFERROR(D18/(D18+D19),0)</f>
        <v>0.583333333333333</v>
      </c>
      <c r="E22" s="20" t="n">
        <f aca="false">IFERROR(E18/(E18+E19),0)</f>
        <v>0.583333333333333</v>
      </c>
      <c r="F22" s="20" t="n">
        <f aca="false">IFERROR(F18/(F18+F19),0)</f>
        <v>0.666666666666667</v>
      </c>
      <c r="G22" s="21" t="n">
        <f aca="false">AVERAGE(B22:F22)</f>
        <v>0.65</v>
      </c>
    </row>
    <row r="23" customFormat="false" ht="15" hidden="false" customHeight="false" outlineLevel="0" collapsed="false">
      <c r="A23" s="18" t="s">
        <v>57</v>
      </c>
      <c r="B23" s="20" t="n">
        <f aca="false">IFERROR(2*B21*B22/(B21+B22),0)</f>
        <v>0.857142857142857</v>
      </c>
      <c r="C23" s="20" t="n">
        <f aca="false">IFERROR(2*C21*C22/(C21+C22),0)</f>
        <v>0.8</v>
      </c>
      <c r="D23" s="20" t="n">
        <f aca="false">IFERROR(2*D21*D22/(D21+D22),0)</f>
        <v>0.736842105263158</v>
      </c>
      <c r="E23" s="20" t="n">
        <f aca="false">IFERROR(2*E21*E22/(E21+E22),0)</f>
        <v>0.736842105263158</v>
      </c>
      <c r="F23" s="20" t="n">
        <f aca="false">IFERROR(2*F21*F22/(F21+F22),0)</f>
        <v>0.8</v>
      </c>
      <c r="G23" s="21" t="n">
        <f aca="false">AVERAGE(B23:F23)</f>
        <v>0.786165413533835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71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  <row r="4" customFormat="false" ht="15" hidden="false" customHeight="false" outlineLevel="0" collapsed="false">
      <c r="A4" s="4" t="s">
        <v>72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73</v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1</v>
      </c>
    </row>
    <row r="6" customFormat="false" ht="15" hidden="false" customHeight="false" outlineLevel="0" collapsed="false">
      <c r="A6" s="4" t="s">
        <v>74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</row>
    <row r="7" customFormat="false" ht="15" hidden="false" customHeight="false" outlineLevel="0" collapsed="false">
      <c r="A7" s="8" t="s">
        <v>75</v>
      </c>
      <c r="B7" s="10" t="n">
        <v>1</v>
      </c>
      <c r="C7" s="10" t="n">
        <v>1</v>
      </c>
      <c r="D7" s="10" t="n">
        <v>0</v>
      </c>
      <c r="E7" s="10" t="n">
        <v>1</v>
      </c>
      <c r="F7" s="10" t="n">
        <v>0</v>
      </c>
    </row>
    <row r="8" customFormat="false" ht="15" hidden="false" customHeight="false" outlineLevel="0" collapsed="false">
      <c r="A8" s="4" t="s">
        <v>76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 customFormat="false" ht="15" hidden="false" customHeight="false" outlineLevel="0" collapsed="false">
      <c r="A9" s="8" t="s">
        <v>77</v>
      </c>
      <c r="B9" s="10" t="n">
        <v>0</v>
      </c>
      <c r="C9" s="10" t="n">
        <v>0</v>
      </c>
      <c r="D9" s="10" t="n">
        <v>1</v>
      </c>
      <c r="E9" s="10" t="n">
        <v>0</v>
      </c>
      <c r="F9" s="10" t="n">
        <v>0</v>
      </c>
    </row>
    <row r="10" customFormat="false" ht="15" hidden="false" customHeight="false" outlineLevel="0" collapsed="false">
      <c r="A10" s="4" t="s">
        <v>78</v>
      </c>
      <c r="B10" s="6" t="n">
        <v>0</v>
      </c>
      <c r="C10" s="6" t="n">
        <v>0</v>
      </c>
      <c r="D10" s="6" t="n">
        <v>0</v>
      </c>
      <c r="E10" s="6" t="n">
        <v>1</v>
      </c>
      <c r="F10" s="6" t="n">
        <v>0</v>
      </c>
    </row>
    <row r="11" customFormat="false" ht="15" hidden="false" customHeight="false" outlineLevel="0" collapsed="false">
      <c r="A11" s="8" t="s">
        <v>79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</row>
    <row r="12" customFormat="false" ht="15" hidden="false" customHeight="false" outlineLevel="0" collapsed="false">
      <c r="A12" s="4" t="s">
        <v>80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</row>
    <row r="13" customFormat="false" ht="15" hidden="false" customHeight="false" outlineLevel="0" collapsed="false">
      <c r="A13" s="8" t="s">
        <v>81</v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</row>
    <row r="14" customFormat="false" ht="15" hidden="false" customHeight="false" outlineLevel="0" collapsed="false">
      <c r="A14" s="4" t="s">
        <v>82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83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84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</row>
    <row r="17" customFormat="false" ht="15" hidden="false" customHeight="false" outlineLevel="0" collapsed="false">
      <c r="A17" s="8" t="s">
        <v>85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</row>
    <row r="18" customFormat="false" ht="15" hidden="false" customHeight="false" outlineLevel="0" collapsed="false">
      <c r="A18" s="4" t="s">
        <v>86</v>
      </c>
      <c r="B18" s="6" t="n">
        <v>0</v>
      </c>
      <c r="C18" s="6" t="n">
        <v>1</v>
      </c>
      <c r="D18" s="6" t="n">
        <v>1</v>
      </c>
      <c r="E18" s="6" t="n">
        <v>0</v>
      </c>
      <c r="F18" s="6" t="n">
        <v>1</v>
      </c>
    </row>
    <row r="19" customFormat="false" ht="15" hidden="false" customHeight="false" outlineLevel="0" collapsed="false">
      <c r="A19" s="8" t="s">
        <v>87</v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</row>
    <row r="20" customFormat="false" ht="15" hidden="false" customHeight="false" outlineLevel="0" collapsed="false">
      <c r="A20" s="4" t="s">
        <v>88</v>
      </c>
      <c r="B20" s="6" t="n">
        <v>1</v>
      </c>
      <c r="C20" s="6" t="n">
        <v>1</v>
      </c>
      <c r="D20" s="6" t="n">
        <v>1</v>
      </c>
      <c r="E20" s="6" t="n">
        <v>1</v>
      </c>
      <c r="F20" s="6" t="n">
        <v>1</v>
      </c>
    </row>
    <row r="21" customFormat="false" ht="15" hidden="false" customHeight="false" outlineLevel="0" collapsed="false">
      <c r="A21" s="8" t="s">
        <v>89</v>
      </c>
      <c r="B21" s="10" t="n">
        <v>1</v>
      </c>
      <c r="C21" s="10" t="n">
        <v>0</v>
      </c>
      <c r="D21" s="10" t="n">
        <v>1</v>
      </c>
      <c r="E21" s="10" t="n">
        <v>1</v>
      </c>
      <c r="F21" s="10" t="n">
        <v>1</v>
      </c>
    </row>
    <row r="22" customFormat="false" ht="15" hidden="false" customHeight="false" outlineLevel="0" collapsed="false">
      <c r="A22" s="4" t="s">
        <v>90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</row>
    <row r="23" customFormat="false" ht="15" hidden="false" customHeight="false" outlineLevel="0" collapsed="false">
      <c r="A23" s="8" t="s">
        <v>91</v>
      </c>
      <c r="B23" s="10" t="n">
        <v>1</v>
      </c>
      <c r="C23" s="10" t="n">
        <v>1</v>
      </c>
      <c r="D23" s="10" t="n">
        <v>1</v>
      </c>
      <c r="E23" s="10" t="n">
        <v>1</v>
      </c>
      <c r="F23" s="10" t="n">
        <v>1</v>
      </c>
    </row>
    <row r="24" customFormat="false" ht="15" hidden="false" customHeight="false" outlineLevel="0" collapsed="false">
      <c r="A24" s="4" t="s">
        <v>92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1</v>
      </c>
    </row>
    <row r="25" customFormat="false" ht="15" hidden="false" customHeight="false" outlineLevel="0" collapsed="false">
      <c r="A25" s="8" t="s">
        <v>93</v>
      </c>
      <c r="B25" s="10" t="n">
        <v>0</v>
      </c>
      <c r="C25" s="10" t="n">
        <v>1</v>
      </c>
      <c r="D25" s="10" t="n">
        <v>1</v>
      </c>
      <c r="E25" s="10" t="n">
        <v>0</v>
      </c>
      <c r="F25" s="10" t="n">
        <v>1</v>
      </c>
    </row>
    <row r="27" customFormat="false" ht="15" hidden="false" customHeight="false" outlineLevel="0" collapsed="false">
      <c r="A27" s="18" t="s">
        <v>51</v>
      </c>
      <c r="B27" s="19" t="n">
        <v>22</v>
      </c>
      <c r="C27" s="19" t="n">
        <v>22</v>
      </c>
      <c r="D27" s="19" t="n">
        <v>22</v>
      </c>
      <c r="E27" s="19" t="n">
        <v>22</v>
      </c>
      <c r="F27" s="19" t="n">
        <v>22</v>
      </c>
    </row>
    <row r="28" customFormat="false" ht="15" hidden="false" customHeight="false" outlineLevel="0" collapsed="false">
      <c r="A28" s="18" t="s">
        <v>52</v>
      </c>
      <c r="B28" s="19" t="n">
        <f aca="false">SUM(B4:B25)</f>
        <v>11</v>
      </c>
      <c r="C28" s="19" t="n">
        <f aca="false">SUM(C4:C25)</f>
        <v>12</v>
      </c>
      <c r="D28" s="19" t="n">
        <f aca="false">SUM(D4:D25)</f>
        <v>13</v>
      </c>
      <c r="E28" s="19" t="n">
        <f aca="false">SUM(E4:E25)</f>
        <v>12</v>
      </c>
      <c r="F28" s="19" t="n">
        <f aca="false">SUM(F4:F25)</f>
        <v>13</v>
      </c>
    </row>
    <row r="29" customFormat="false" ht="15" hidden="false" customHeight="false" outlineLevel="0" collapsed="false">
      <c r="A29" s="18" t="s">
        <v>53</v>
      </c>
      <c r="B29" s="19" t="n">
        <f aca="false">B27-B28</f>
        <v>11</v>
      </c>
      <c r="C29" s="19" t="n">
        <f aca="false">C27-C28</f>
        <v>10</v>
      </c>
      <c r="D29" s="19" t="n">
        <f aca="false">D27-D28</f>
        <v>9</v>
      </c>
      <c r="E29" s="19" t="n">
        <f aca="false">E27-E28</f>
        <v>10</v>
      </c>
      <c r="F29" s="19" t="n">
        <f aca="false">F27-F28</f>
        <v>9</v>
      </c>
    </row>
    <row r="30" customFormat="false" ht="15" hidden="false" customHeight="false" outlineLevel="0" collapsed="false">
      <c r="A30" s="18" t="s">
        <v>54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0</v>
      </c>
    </row>
    <row r="31" customFormat="false" ht="15" hidden="false" customHeight="false" outlineLevel="0" collapsed="false">
      <c r="A31" s="18" t="s">
        <v>55</v>
      </c>
      <c r="B31" s="20" t="n">
        <f aca="false">IFERROR(B28/(B28+B30),0)</f>
        <v>1</v>
      </c>
      <c r="C31" s="20" t="n">
        <f aca="false">IFERROR(C28/(C28+C30),0)</f>
        <v>1</v>
      </c>
      <c r="D31" s="20" t="n">
        <f aca="false">IFERROR(D28/(D28+D30),0)</f>
        <v>1</v>
      </c>
      <c r="E31" s="20" t="n">
        <f aca="false">IFERROR(E28/(E28+E30),0)</f>
        <v>1</v>
      </c>
      <c r="F31" s="20" t="n">
        <f aca="false">IFERROR(F28/(F28+F30),0)</f>
        <v>1</v>
      </c>
      <c r="G31" s="21" t="n">
        <f aca="false">AVERAGE(B31:F31)</f>
        <v>1</v>
      </c>
    </row>
    <row r="32" customFormat="false" ht="15" hidden="false" customHeight="false" outlineLevel="0" collapsed="false">
      <c r="A32" s="18" t="s">
        <v>56</v>
      </c>
      <c r="B32" s="20" t="n">
        <f aca="false">IFERROR(B28/(B28+B29),0)</f>
        <v>0.5</v>
      </c>
      <c r="C32" s="20" t="n">
        <f aca="false">IFERROR(C28/(C28+C29),0)</f>
        <v>0.545454545454545</v>
      </c>
      <c r="D32" s="20" t="n">
        <f aca="false">IFERROR(D28/(D28+D29),0)</f>
        <v>0.590909090909091</v>
      </c>
      <c r="E32" s="20" t="n">
        <f aca="false">IFERROR(E28/(E28+E29),0)</f>
        <v>0.545454545454545</v>
      </c>
      <c r="F32" s="20" t="n">
        <f aca="false">IFERROR(F28/(F28+F29),0)</f>
        <v>0.590909090909091</v>
      </c>
      <c r="G32" s="21" t="n">
        <f aca="false">AVERAGE(B32:F32)</f>
        <v>0.554545454545455</v>
      </c>
    </row>
    <row r="33" customFormat="false" ht="15" hidden="false" customHeight="false" outlineLevel="0" collapsed="false">
      <c r="A33" s="18" t="s">
        <v>57</v>
      </c>
      <c r="B33" s="20" t="n">
        <f aca="false">IFERROR(2*B31*B32/(B31+B32),0)</f>
        <v>0.666666666666667</v>
      </c>
      <c r="C33" s="20" t="n">
        <f aca="false">IFERROR(2*C31*C32/(C31+C32),0)</f>
        <v>0.705882352941176</v>
      </c>
      <c r="D33" s="20" t="n">
        <f aca="false">IFERROR(2*D31*D32/(D31+D32),0)</f>
        <v>0.742857142857143</v>
      </c>
      <c r="E33" s="20" t="n">
        <f aca="false">IFERROR(2*E31*E32/(E31+E32),0)</f>
        <v>0.705882352941176</v>
      </c>
      <c r="F33" s="20" t="n">
        <f aca="false">IFERROR(2*F31*F32/(F31+F32),0)</f>
        <v>0.742857142857143</v>
      </c>
      <c r="G33" s="21" t="n">
        <f aca="false">AVERAGE(B33:F33)</f>
        <v>0.712829131652661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94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  <row r="4" customFormat="false" ht="15" hidden="false" customHeight="false" outlineLevel="0" collapsed="false">
      <c r="A4" s="4" t="s">
        <v>95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96</v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1</v>
      </c>
    </row>
    <row r="6" customFormat="false" ht="15" hidden="false" customHeight="false" outlineLevel="0" collapsed="false">
      <c r="A6" s="4" t="s">
        <v>97</v>
      </c>
      <c r="B6" s="6" t="n">
        <v>1</v>
      </c>
      <c r="C6" s="6" t="n">
        <v>1</v>
      </c>
      <c r="D6" s="6" t="n">
        <v>1</v>
      </c>
      <c r="E6" s="6" t="n">
        <v>0</v>
      </c>
      <c r="F6" s="6" t="n">
        <v>1</v>
      </c>
    </row>
    <row r="7" customFormat="false" ht="15" hidden="false" customHeight="false" outlineLevel="0" collapsed="false">
      <c r="A7" s="8" t="s">
        <v>98</v>
      </c>
      <c r="B7" s="10" t="n">
        <v>0</v>
      </c>
      <c r="C7" s="10" t="n">
        <v>1</v>
      </c>
      <c r="D7" s="10" t="n">
        <v>1</v>
      </c>
      <c r="E7" s="10" t="n">
        <v>0</v>
      </c>
      <c r="F7" s="10" t="n">
        <v>1</v>
      </c>
    </row>
    <row r="8" customFormat="false" ht="15" hidden="false" customHeight="false" outlineLevel="0" collapsed="false">
      <c r="A8" s="4" t="s">
        <v>99</v>
      </c>
      <c r="B8" s="6" t="n">
        <v>1</v>
      </c>
      <c r="C8" s="6" t="n">
        <v>0</v>
      </c>
      <c r="D8" s="6" t="n">
        <v>1</v>
      </c>
      <c r="E8" s="6" t="n">
        <v>0</v>
      </c>
      <c r="F8" s="6" t="n">
        <v>1</v>
      </c>
    </row>
    <row r="9" customFormat="false" ht="15" hidden="false" customHeight="false" outlineLevel="0" collapsed="false">
      <c r="A9" s="8" t="s">
        <v>100</v>
      </c>
      <c r="B9" s="10" t="n">
        <v>1</v>
      </c>
      <c r="C9" s="10" t="n">
        <v>1</v>
      </c>
      <c r="D9" s="10" t="n">
        <v>0</v>
      </c>
      <c r="E9" s="10" t="n">
        <v>0</v>
      </c>
      <c r="F9" s="10" t="n">
        <v>0</v>
      </c>
    </row>
    <row r="10" customFormat="false" ht="15" hidden="false" customHeight="false" outlineLevel="0" collapsed="false">
      <c r="A10" s="4" t="s">
        <v>101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102</v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</row>
    <row r="12" customFormat="false" ht="15" hidden="false" customHeight="false" outlineLevel="0" collapsed="false">
      <c r="A12" s="4" t="s">
        <v>103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0</v>
      </c>
    </row>
    <row r="13" customFormat="false" ht="15" hidden="false" customHeight="false" outlineLevel="0" collapsed="false">
      <c r="A13" s="8" t="s">
        <v>104</v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</row>
    <row r="14" customFormat="false" ht="15" hidden="false" customHeight="false" outlineLevel="0" collapsed="false">
      <c r="A14" s="4" t="s">
        <v>105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106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107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0</v>
      </c>
    </row>
    <row r="17" customFormat="false" ht="15" hidden="false" customHeight="false" outlineLevel="0" collapsed="false">
      <c r="A17" s="8" t="s">
        <v>108</v>
      </c>
      <c r="B17" s="10" t="n">
        <v>0</v>
      </c>
      <c r="C17" s="10" t="n">
        <v>1</v>
      </c>
      <c r="D17" s="10" t="n">
        <v>0</v>
      </c>
      <c r="E17" s="10" t="n">
        <v>0</v>
      </c>
      <c r="F17" s="10" t="n">
        <v>1</v>
      </c>
    </row>
    <row r="18" customFormat="false" ht="15" hidden="false" customHeight="false" outlineLevel="0" collapsed="false">
      <c r="A18" s="4" t="s">
        <v>109</v>
      </c>
      <c r="B18" s="6" t="n">
        <v>1</v>
      </c>
      <c r="C18" s="6" t="n">
        <v>1</v>
      </c>
      <c r="D18" s="6" t="n">
        <v>1</v>
      </c>
      <c r="E18" s="6" t="n">
        <v>0</v>
      </c>
      <c r="F18" s="6" t="n">
        <v>1</v>
      </c>
    </row>
    <row r="19" customFormat="false" ht="15" hidden="false" customHeight="false" outlineLevel="0" collapsed="false">
      <c r="A19" s="8" t="s">
        <v>110</v>
      </c>
      <c r="B19" s="10" t="n">
        <v>1</v>
      </c>
      <c r="C19" s="10" t="n">
        <v>1</v>
      </c>
      <c r="D19" s="10" t="n">
        <v>1</v>
      </c>
      <c r="E19" s="10" t="n">
        <v>1</v>
      </c>
      <c r="F19" s="10" t="n">
        <v>1</v>
      </c>
    </row>
    <row r="20" customFormat="false" ht="15" hidden="false" customHeight="false" outlineLevel="0" collapsed="false">
      <c r="A20" s="4" t="s">
        <v>111</v>
      </c>
      <c r="B20" s="6" t="n">
        <v>0</v>
      </c>
      <c r="C20" s="6" t="n">
        <v>1</v>
      </c>
      <c r="D20" s="6" t="n">
        <v>1</v>
      </c>
      <c r="E20" s="6" t="n">
        <v>1</v>
      </c>
      <c r="F20" s="6" t="n">
        <v>1</v>
      </c>
    </row>
    <row r="21" customFormat="false" ht="15" hidden="false" customHeight="false" outlineLevel="0" collapsed="false">
      <c r="A21" s="8" t="s">
        <v>112</v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0</v>
      </c>
    </row>
    <row r="22" customFormat="false" ht="15" hidden="false" customHeight="false" outlineLevel="0" collapsed="false">
      <c r="A22" s="4" t="s">
        <v>113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</row>
    <row r="23" customFormat="false" ht="15" hidden="false" customHeight="false" outlineLevel="0" collapsed="false">
      <c r="A23" s="8" t="s">
        <v>114</v>
      </c>
      <c r="B23" s="10" t="n">
        <v>1</v>
      </c>
      <c r="C23" s="10" t="n">
        <v>1</v>
      </c>
      <c r="D23" s="10" t="n">
        <v>1</v>
      </c>
      <c r="E23" s="10" t="n">
        <v>1</v>
      </c>
      <c r="F23" s="10" t="n">
        <v>1</v>
      </c>
    </row>
    <row r="24" customFormat="false" ht="15" hidden="false" customHeight="false" outlineLevel="0" collapsed="false">
      <c r="A24" s="4" t="s">
        <v>115</v>
      </c>
      <c r="B24" s="6" t="n">
        <v>0</v>
      </c>
      <c r="C24" s="6" t="n">
        <v>1</v>
      </c>
      <c r="D24" s="6" t="n">
        <v>1</v>
      </c>
      <c r="E24" s="6" t="n">
        <v>0</v>
      </c>
      <c r="F24" s="6" t="n">
        <v>0</v>
      </c>
    </row>
    <row r="25" customFormat="false" ht="15" hidden="false" customHeight="false" outlineLevel="0" collapsed="false">
      <c r="A25" s="8" t="s">
        <v>116</v>
      </c>
      <c r="B25" s="10" t="n">
        <v>0</v>
      </c>
      <c r="C25" s="10" t="n">
        <v>0</v>
      </c>
      <c r="D25" s="10" t="n">
        <v>1</v>
      </c>
      <c r="E25" s="10" t="n">
        <v>0</v>
      </c>
      <c r="F25" s="10" t="n">
        <v>1</v>
      </c>
    </row>
    <row r="27" customFormat="false" ht="15" hidden="false" customHeight="false" outlineLevel="0" collapsed="false">
      <c r="A27" s="18" t="s">
        <v>51</v>
      </c>
      <c r="B27" s="19" t="n">
        <v>22</v>
      </c>
      <c r="C27" s="19" t="n">
        <v>22</v>
      </c>
      <c r="D27" s="19" t="n">
        <v>22</v>
      </c>
      <c r="E27" s="19" t="n">
        <v>22</v>
      </c>
      <c r="F27" s="19" t="n">
        <v>22</v>
      </c>
    </row>
    <row r="28" customFormat="false" ht="15" hidden="false" customHeight="false" outlineLevel="0" collapsed="false">
      <c r="A28" s="18" t="s">
        <v>52</v>
      </c>
      <c r="B28" s="19" t="n">
        <f aca="false">SUM(B4:B25)</f>
        <v>13</v>
      </c>
      <c r="C28" s="19" t="n">
        <f aca="false">SUM(C4:C25)</f>
        <v>16</v>
      </c>
      <c r="D28" s="19" t="n">
        <f aca="false">SUM(D4:D25)</f>
        <v>16</v>
      </c>
      <c r="E28" s="19" t="n">
        <f aca="false">SUM(E4:E25)</f>
        <v>10</v>
      </c>
      <c r="F28" s="19" t="n">
        <f aca="false">SUM(F4:F25)</f>
        <v>14</v>
      </c>
    </row>
    <row r="29" customFormat="false" ht="15" hidden="false" customHeight="false" outlineLevel="0" collapsed="false">
      <c r="A29" s="18" t="s">
        <v>53</v>
      </c>
      <c r="B29" s="19" t="n">
        <f aca="false">B27-B28</f>
        <v>9</v>
      </c>
      <c r="C29" s="19" t="n">
        <f aca="false">C27-C28</f>
        <v>6</v>
      </c>
      <c r="D29" s="19" t="n">
        <f aca="false">D27-D28</f>
        <v>6</v>
      </c>
      <c r="E29" s="19" t="n">
        <f aca="false">E27-E28</f>
        <v>12</v>
      </c>
      <c r="F29" s="19" t="n">
        <f aca="false">F27-F28</f>
        <v>8</v>
      </c>
    </row>
    <row r="30" customFormat="false" ht="15" hidden="false" customHeight="false" outlineLevel="0" collapsed="false">
      <c r="A30" s="18" t="s">
        <v>54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0</v>
      </c>
    </row>
    <row r="31" customFormat="false" ht="15" hidden="false" customHeight="false" outlineLevel="0" collapsed="false">
      <c r="A31" s="18" t="s">
        <v>55</v>
      </c>
      <c r="B31" s="20" t="n">
        <f aca="false">IFERROR(B28/(B28+B30),0)</f>
        <v>1</v>
      </c>
      <c r="C31" s="20" t="n">
        <f aca="false">IFERROR(C28/(C28+C30),0)</f>
        <v>1</v>
      </c>
      <c r="D31" s="20" t="n">
        <f aca="false">IFERROR(D28/(D28+D30),0)</f>
        <v>1</v>
      </c>
      <c r="E31" s="20" t="n">
        <f aca="false">IFERROR(E28/(E28+E30),0)</f>
        <v>1</v>
      </c>
      <c r="F31" s="20" t="n">
        <f aca="false">IFERROR(F28/(F28+F30),0)</f>
        <v>1</v>
      </c>
      <c r="G31" s="21" t="n">
        <f aca="false">AVERAGE(B31:F31)</f>
        <v>1</v>
      </c>
    </row>
    <row r="32" customFormat="false" ht="15" hidden="false" customHeight="false" outlineLevel="0" collapsed="false">
      <c r="A32" s="18" t="s">
        <v>56</v>
      </c>
      <c r="B32" s="20" t="n">
        <f aca="false">IFERROR(B28/(B28+B29),0)</f>
        <v>0.590909090909091</v>
      </c>
      <c r="C32" s="20" t="n">
        <f aca="false">IFERROR(C28/(C28+C29),0)</f>
        <v>0.727272727272727</v>
      </c>
      <c r="D32" s="20" t="n">
        <f aca="false">IFERROR(D28/(D28+D29),0)</f>
        <v>0.727272727272727</v>
      </c>
      <c r="E32" s="20" t="n">
        <f aca="false">IFERROR(E28/(E28+E29),0)</f>
        <v>0.454545454545455</v>
      </c>
      <c r="F32" s="20" t="n">
        <f aca="false">IFERROR(F28/(F28+F29),0)</f>
        <v>0.636363636363636</v>
      </c>
      <c r="G32" s="21" t="n">
        <f aca="false">AVERAGE(B32:F32)</f>
        <v>0.627272727272727</v>
      </c>
    </row>
    <row r="33" customFormat="false" ht="15" hidden="false" customHeight="false" outlineLevel="0" collapsed="false">
      <c r="A33" s="18" t="s">
        <v>57</v>
      </c>
      <c r="B33" s="20" t="n">
        <f aca="false">IFERROR(2*B31*B32/(B31+B32),0)</f>
        <v>0.742857142857143</v>
      </c>
      <c r="C33" s="20" t="n">
        <f aca="false">IFERROR(2*C31*C32/(C31+C32),0)</f>
        <v>0.842105263157895</v>
      </c>
      <c r="D33" s="20" t="n">
        <f aca="false">IFERROR(2*D31*D32/(D31+D32),0)</f>
        <v>0.842105263157895</v>
      </c>
      <c r="E33" s="20" t="n">
        <f aca="false">IFERROR(2*E31*E32/(E31+E32),0)</f>
        <v>0.625</v>
      </c>
      <c r="F33" s="20" t="n">
        <f aca="false">IFERROR(2*F31*F32/(F31+F32),0)</f>
        <v>0.777777777777778</v>
      </c>
      <c r="G33" s="21" t="n">
        <f aca="false">AVERAGE(B33:F33)</f>
        <v>0.765969089390142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117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</row>
    <row r="4" customFormat="false" ht="15" hidden="false" customHeight="false" outlineLevel="0" collapsed="false">
      <c r="A4" s="4" t="s">
        <v>118</v>
      </c>
      <c r="B4" s="6" t="n">
        <v>1</v>
      </c>
      <c r="C4" s="6" t="n">
        <v>1</v>
      </c>
      <c r="D4" s="6" t="n">
        <v>0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119</v>
      </c>
      <c r="B5" s="10" t="n">
        <v>0</v>
      </c>
      <c r="C5" s="10" t="n">
        <v>1</v>
      </c>
      <c r="D5" s="10" t="n">
        <v>0</v>
      </c>
      <c r="E5" s="10" t="n">
        <v>1</v>
      </c>
      <c r="F5" s="10" t="n">
        <v>0</v>
      </c>
    </row>
    <row r="6" customFormat="false" ht="15" hidden="false" customHeight="false" outlineLevel="0" collapsed="false">
      <c r="A6" s="4" t="s">
        <v>120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</row>
    <row r="7" customFormat="false" ht="15" hidden="false" customHeight="false" outlineLevel="0" collapsed="false">
      <c r="A7" s="8" t="s">
        <v>121</v>
      </c>
      <c r="B7" s="10" t="n">
        <v>1</v>
      </c>
      <c r="C7" s="10" t="n">
        <v>1</v>
      </c>
      <c r="D7" s="10" t="n">
        <v>0</v>
      </c>
      <c r="E7" s="10" t="n">
        <v>0</v>
      </c>
      <c r="F7" s="10" t="n">
        <v>0</v>
      </c>
    </row>
    <row r="8" customFormat="false" ht="15" hidden="false" customHeight="false" outlineLevel="0" collapsed="false">
      <c r="A8" s="4" t="s">
        <v>122</v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</row>
    <row r="9" customFormat="false" ht="15" hidden="false" customHeight="false" outlineLevel="0" collapsed="false">
      <c r="A9" s="8" t="s">
        <v>123</v>
      </c>
      <c r="B9" s="10" t="n">
        <v>1</v>
      </c>
      <c r="C9" s="10" t="n">
        <v>0</v>
      </c>
      <c r="D9" s="10" t="n">
        <v>0</v>
      </c>
      <c r="E9" s="10" t="n">
        <v>0</v>
      </c>
      <c r="F9" s="10" t="n">
        <v>1</v>
      </c>
    </row>
    <row r="10" customFormat="false" ht="15" hidden="false" customHeight="false" outlineLevel="0" collapsed="false">
      <c r="A10" s="4" t="s">
        <v>124</v>
      </c>
      <c r="B10" s="6" t="n">
        <v>1</v>
      </c>
      <c r="C10" s="6" t="n">
        <v>0</v>
      </c>
      <c r="D10" s="6" t="n">
        <v>0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125</v>
      </c>
      <c r="B11" s="10" t="n">
        <v>0</v>
      </c>
      <c r="C11" s="10" t="n">
        <v>1</v>
      </c>
      <c r="D11" s="10" t="n">
        <v>0</v>
      </c>
      <c r="E11" s="10" t="n">
        <v>0</v>
      </c>
      <c r="F11" s="10" t="n">
        <v>0</v>
      </c>
    </row>
    <row r="12" customFormat="false" ht="15" hidden="false" customHeight="false" outlineLevel="0" collapsed="false">
      <c r="A12" s="4" t="s">
        <v>126</v>
      </c>
      <c r="B12" s="6" t="n">
        <v>0</v>
      </c>
      <c r="C12" s="6" t="n">
        <v>1</v>
      </c>
      <c r="D12" s="6" t="n">
        <v>0</v>
      </c>
      <c r="E12" s="6" t="n">
        <v>0</v>
      </c>
      <c r="F12" s="6" t="n">
        <v>0</v>
      </c>
    </row>
    <row r="13" customFormat="false" ht="15" hidden="false" customHeight="false" outlineLevel="0" collapsed="false">
      <c r="A13" s="8" t="s">
        <v>127</v>
      </c>
      <c r="B13" s="10" t="n">
        <v>1</v>
      </c>
      <c r="C13" s="10" t="n">
        <v>1</v>
      </c>
      <c r="D13" s="10" t="n">
        <v>0</v>
      </c>
      <c r="E13" s="10" t="n">
        <v>1</v>
      </c>
      <c r="F13" s="10" t="n">
        <v>0</v>
      </c>
    </row>
    <row r="14" customFormat="false" ht="15" hidden="false" customHeight="false" outlineLevel="0" collapsed="false">
      <c r="A14" s="4" t="s">
        <v>128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0</v>
      </c>
    </row>
    <row r="15" customFormat="false" ht="15" hidden="false" customHeight="false" outlineLevel="0" collapsed="false">
      <c r="A15" s="8" t="s">
        <v>129</v>
      </c>
      <c r="B15" s="10" t="n">
        <v>0</v>
      </c>
      <c r="C15" s="10" t="n">
        <v>1</v>
      </c>
      <c r="D15" s="10" t="n">
        <v>0</v>
      </c>
      <c r="E15" s="10" t="n">
        <v>1</v>
      </c>
      <c r="F15" s="10" t="n">
        <v>0</v>
      </c>
    </row>
    <row r="16" customFormat="false" ht="15" hidden="false" customHeight="false" outlineLevel="0" collapsed="false">
      <c r="A16" s="4" t="s">
        <v>130</v>
      </c>
      <c r="B16" s="6" t="n">
        <v>1</v>
      </c>
      <c r="C16" s="6" t="n">
        <v>0</v>
      </c>
      <c r="D16" s="6" t="n">
        <v>1</v>
      </c>
      <c r="E16" s="6" t="n">
        <v>0</v>
      </c>
      <c r="F16" s="6" t="n">
        <v>1</v>
      </c>
    </row>
    <row r="17" customFormat="false" ht="15" hidden="false" customHeight="false" outlineLevel="0" collapsed="false">
      <c r="A17" s="8" t="s">
        <v>131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</row>
    <row r="18" customFormat="false" ht="15" hidden="false" customHeight="false" outlineLevel="0" collapsed="false">
      <c r="A18" s="4" t="s">
        <v>132</v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0</v>
      </c>
    </row>
    <row r="19" customFormat="false" ht="15" hidden="false" customHeight="false" outlineLevel="0" collapsed="false">
      <c r="A19" s="8" t="s">
        <v>133</v>
      </c>
      <c r="B19" s="10" t="n">
        <v>0</v>
      </c>
      <c r="C19" s="10" t="n">
        <v>0</v>
      </c>
      <c r="D19" s="10" t="n">
        <v>1</v>
      </c>
      <c r="E19" s="10" t="n">
        <v>0</v>
      </c>
      <c r="F19" s="10" t="n">
        <v>0</v>
      </c>
    </row>
    <row r="20" customFormat="false" ht="15" hidden="false" customHeight="false" outlineLevel="0" collapsed="false">
      <c r="A20" s="4" t="s">
        <v>134</v>
      </c>
      <c r="B20" s="6" t="n">
        <v>1</v>
      </c>
      <c r="C20" s="6" t="n">
        <v>1</v>
      </c>
      <c r="D20" s="6" t="n">
        <v>1</v>
      </c>
      <c r="E20" s="6" t="n">
        <v>1</v>
      </c>
      <c r="F20" s="6" t="n">
        <v>1</v>
      </c>
    </row>
    <row r="21" customFormat="false" ht="15" hidden="false" customHeight="false" outlineLevel="0" collapsed="false">
      <c r="A21" s="8" t="s">
        <v>135</v>
      </c>
      <c r="B21" s="10" t="n">
        <v>1</v>
      </c>
      <c r="C21" s="10" t="n">
        <v>1</v>
      </c>
      <c r="D21" s="10" t="n">
        <v>1</v>
      </c>
      <c r="E21" s="10" t="n">
        <v>1</v>
      </c>
      <c r="F21" s="10" t="n">
        <v>1</v>
      </c>
    </row>
    <row r="22" customFormat="false" ht="15" hidden="false" customHeight="false" outlineLevel="0" collapsed="false">
      <c r="A22" s="4" t="s">
        <v>136</v>
      </c>
      <c r="B22" s="6" t="n">
        <v>1</v>
      </c>
      <c r="C22" s="6" t="n">
        <v>1</v>
      </c>
      <c r="D22" s="6" t="n">
        <v>1</v>
      </c>
      <c r="E22" s="6" t="n">
        <v>1</v>
      </c>
      <c r="F22" s="6" t="n">
        <v>1</v>
      </c>
    </row>
    <row r="23" customFormat="false" ht="15" hidden="false" customHeight="false" outlineLevel="0" collapsed="false">
      <c r="A23" s="8" t="s">
        <v>137</v>
      </c>
      <c r="B23" s="10" t="n">
        <v>0</v>
      </c>
      <c r="C23" s="10" t="n">
        <v>0</v>
      </c>
      <c r="D23" s="10" t="n">
        <v>0</v>
      </c>
      <c r="E23" s="10" t="n">
        <v>1</v>
      </c>
      <c r="F23" s="10" t="n">
        <v>0</v>
      </c>
    </row>
    <row r="24" customFormat="false" ht="15" hidden="false" customHeight="false" outlineLevel="0" collapsed="false">
      <c r="A24" s="4" t="s">
        <v>138</v>
      </c>
      <c r="B24" s="6" t="n">
        <v>0</v>
      </c>
      <c r="C24" s="6" t="n">
        <v>0</v>
      </c>
      <c r="D24" s="6" t="n">
        <v>1</v>
      </c>
      <c r="E24" s="6" t="n">
        <v>1</v>
      </c>
      <c r="F24" s="6" t="n">
        <v>0</v>
      </c>
    </row>
    <row r="25" customFormat="false" ht="15" hidden="false" customHeight="false" outlineLevel="0" collapsed="false">
      <c r="A25" s="8" t="s">
        <v>139</v>
      </c>
      <c r="B25" s="10" t="n">
        <v>0</v>
      </c>
      <c r="C25" s="10" t="n">
        <v>1</v>
      </c>
      <c r="D25" s="10" t="n">
        <v>1</v>
      </c>
      <c r="E25" s="10" t="n">
        <v>0</v>
      </c>
      <c r="F25" s="10" t="n">
        <v>1</v>
      </c>
    </row>
    <row r="27" customFormat="false" ht="15" hidden="false" customHeight="false" outlineLevel="0" collapsed="false">
      <c r="A27" s="18" t="s">
        <v>51</v>
      </c>
      <c r="B27" s="19" t="n">
        <v>22</v>
      </c>
      <c r="C27" s="19" t="n">
        <v>22</v>
      </c>
      <c r="D27" s="19" t="n">
        <v>22</v>
      </c>
      <c r="E27" s="19" t="n">
        <v>22</v>
      </c>
      <c r="F27" s="19" t="n">
        <v>22</v>
      </c>
    </row>
    <row r="28" customFormat="false" ht="15" hidden="false" customHeight="false" outlineLevel="0" collapsed="false">
      <c r="A28" s="18" t="s">
        <v>52</v>
      </c>
      <c r="B28" s="19" t="n">
        <f aca="false">SUM(B4:B25)</f>
        <v>12</v>
      </c>
      <c r="C28" s="19" t="n">
        <f aca="false">SUM(C4:C25)</f>
        <v>14</v>
      </c>
      <c r="D28" s="19" t="n">
        <f aca="false">SUM(D4:D25)</f>
        <v>9</v>
      </c>
      <c r="E28" s="19" t="n">
        <f aca="false">SUM(E4:E25)</f>
        <v>12</v>
      </c>
      <c r="F28" s="19" t="n">
        <f aca="false">SUM(F4:F25)</f>
        <v>9</v>
      </c>
    </row>
    <row r="29" customFormat="false" ht="15" hidden="false" customHeight="false" outlineLevel="0" collapsed="false">
      <c r="A29" s="18" t="s">
        <v>53</v>
      </c>
      <c r="B29" s="19" t="n">
        <f aca="false">B27-B28</f>
        <v>10</v>
      </c>
      <c r="C29" s="19" t="n">
        <f aca="false">C27-C28</f>
        <v>8</v>
      </c>
      <c r="D29" s="19" t="n">
        <f aca="false">D27-D28</f>
        <v>13</v>
      </c>
      <c r="E29" s="19" t="n">
        <f aca="false">E27-E28</f>
        <v>10</v>
      </c>
      <c r="F29" s="19" t="n">
        <f aca="false">F27-F28</f>
        <v>13</v>
      </c>
    </row>
    <row r="30" customFormat="false" ht="15" hidden="false" customHeight="false" outlineLevel="0" collapsed="false">
      <c r="A30" s="18" t="s">
        <v>54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0</v>
      </c>
    </row>
    <row r="31" customFormat="false" ht="15" hidden="false" customHeight="false" outlineLevel="0" collapsed="false">
      <c r="A31" s="18" t="s">
        <v>55</v>
      </c>
      <c r="B31" s="20" t="n">
        <f aca="false">IFERROR(B28/(B28+B30),0)</f>
        <v>1</v>
      </c>
      <c r="C31" s="20" t="n">
        <f aca="false">IFERROR(C28/(C28+C30),0)</f>
        <v>1</v>
      </c>
      <c r="D31" s="20" t="n">
        <f aca="false">IFERROR(D28/(D28+D30),0)</f>
        <v>1</v>
      </c>
      <c r="E31" s="20" t="n">
        <f aca="false">IFERROR(E28/(E28+E30),0)</f>
        <v>1</v>
      </c>
      <c r="F31" s="20" t="n">
        <f aca="false">IFERROR(F28/(F28+F30),0)</f>
        <v>1</v>
      </c>
      <c r="G31" s="21" t="n">
        <f aca="false">AVERAGE(B31:F31)</f>
        <v>1</v>
      </c>
    </row>
    <row r="32" customFormat="false" ht="15" hidden="false" customHeight="false" outlineLevel="0" collapsed="false">
      <c r="A32" s="18" t="s">
        <v>56</v>
      </c>
      <c r="B32" s="20" t="n">
        <f aca="false">IFERROR(B28/(B28+B29),0)</f>
        <v>0.545454545454545</v>
      </c>
      <c r="C32" s="20" t="n">
        <f aca="false">IFERROR(C28/(C28+C29),0)</f>
        <v>0.636363636363636</v>
      </c>
      <c r="D32" s="20" t="n">
        <f aca="false">IFERROR(D28/(D28+D29),0)</f>
        <v>0.409090909090909</v>
      </c>
      <c r="E32" s="20" t="n">
        <f aca="false">IFERROR(E28/(E28+E29),0)</f>
        <v>0.545454545454545</v>
      </c>
      <c r="F32" s="20" t="n">
        <f aca="false">IFERROR(F28/(F28+F29),0)</f>
        <v>0.409090909090909</v>
      </c>
      <c r="G32" s="21" t="n">
        <f aca="false">AVERAGE(B32:F32)</f>
        <v>0.509090909090909</v>
      </c>
    </row>
    <row r="33" customFormat="false" ht="15" hidden="false" customHeight="false" outlineLevel="0" collapsed="false">
      <c r="A33" s="18" t="s">
        <v>57</v>
      </c>
      <c r="B33" s="20" t="n">
        <f aca="false">IFERROR(2*B31*B32/(B31+B32),0)</f>
        <v>0.705882352941176</v>
      </c>
      <c r="C33" s="20" t="n">
        <f aca="false">IFERROR(2*C31*C32/(C31+C32),0)</f>
        <v>0.777777777777778</v>
      </c>
      <c r="D33" s="20" t="n">
        <f aca="false">IFERROR(2*D31*D32/(D31+D32),0)</f>
        <v>0.580645161290323</v>
      </c>
      <c r="E33" s="20" t="n">
        <f aca="false">IFERROR(2*E31*E32/(E31+E32),0)</f>
        <v>0.705882352941176</v>
      </c>
      <c r="F33" s="20" t="n">
        <f aca="false">IFERROR(2*F31*F32/(F31+F32),0)</f>
        <v>0.580645161290323</v>
      </c>
      <c r="G33" s="21" t="n">
        <f aca="false">AVERAGE(B33:F33)</f>
        <v>0.670166561248155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2026-06-21T04:34:06Z</dcterms:created>
  <dc:creator>openpyxl</dc:creator>
  <dc:description/>
  <dc:language>en-US</dc:language>
  <cp:lastModifiedBy/>
  <dcterms:modified xsi:type="dcterms:W3CDTF">2026-06-21T04:34:06Z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