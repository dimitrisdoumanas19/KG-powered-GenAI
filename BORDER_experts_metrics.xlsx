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1" sheetId="2" state="visible" r:id="rId4"/>
    <sheet name="S2" sheetId="3" state="visible" r:id="rId5"/>
    <sheet name="S3" sheetId="4" state="visible" r:id="rId6"/>
    <sheet name="S4" sheetId="5" state="visible" r:id="rId7"/>
    <sheet name="S5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<sst xmlns="http://schemas.openxmlformats.org/spreadsheetml/2006/main" count="173" uniqueCount="99">
  <si>
    <t xml:space="preserve">Human (expert) performance per scenario — Border Security</t>
  </si>
  <si>
    <t xml:space="preserve">Mean across 5 border-security experts (4-25+ yrs). Source scenarios 3,5,9,15,17 reported as Scenarios 1-5.</t>
  </si>
  <si>
    <t xml:space="preserve">Scenario</t>
  </si>
  <si>
    <t xml:space="preserve">Precision</t>
  </si>
  <si>
    <t xml:space="preserve">Recall</t>
  </si>
  <si>
    <t xml:space="preserve">F1 score</t>
  </si>
  <si>
    <t xml:space="preserve">N items</t>
  </si>
  <si>
    <t xml:space="preserve">Mean items addressed</t>
  </si>
  <si>
    <t xml:space="preserve">S1 (sc.3) - Small Boat Intrusion, Lesvos</t>
  </si>
  <si>
    <t xml:space="preserve">S2 (sc.5) - Drone Drug Delivery, Gibraltar</t>
  </si>
  <si>
    <t xml:space="preserve">S3 (sc.9) - IED Smuggling, Rotterdam</t>
  </si>
  <si>
    <t xml:space="preserve">S4 (sc.15) - AI Surveillance Failure, Finland</t>
  </si>
  <si>
    <t xml:space="preserve">S5 (sc.17) - Mass Refugee Influx, Evros</t>
  </si>
  <si>
    <t xml:space="preserve">OVERALL (mean of scenarios)</t>
  </si>
  <si>
    <t xml:space="preserve">Methodology / coding rules</t>
  </si>
  <si>
    <t xml:space="preserve">1. Ground truth = the evaluation points listed in each scenario's rubric (Threat type, Location, ... , Main metrics).</t>
  </si>
  <si>
    <t xml:space="preserve">2. Each expert answer coded item-by-item: 1 = evaluation point correctly addressed, 0 = not addressed (see scenario tabs).</t>
  </si>
  <si>
    <t xml:space="preserve">3. TP = point addressed; FN = point omitted; FP = an incorrect identification or advocating a rubric 'Incorrect response'.</t>
  </si>
  <si>
    <t xml:space="preserve">4. No expert advocated an incorrect response or misidentified a point, so FP = 0; Precision = 1.000 and F1 tracks Recall.</t>
  </si>
  <si>
    <t xml:space="preserve">   FP cells are editable if you wish to re-score under a stricter convention.</t>
  </si>
  <si>
    <t xml:space="preserve">5. Figures are the mean of the five experts per scenario (equals the micro/pooled average, since N is equal per expert).</t>
  </si>
  <si>
    <t xml:space="preserve">6. Most omissions are descriptive details (e.g. exact Time, Location naming) that strategic experts left implicit;</t>
  </si>
  <si>
    <t xml:space="preserve">   the per-item tabs are provided so any cell can be reviewed and all metrics recompute automatically.</t>
  </si>
  <si>
    <t xml:space="preserve">S1 (sc.3) - Small Boat Intrusion, Lesvos  —  expert answers vs. ground-truth rubric</t>
  </si>
  <si>
    <t xml:space="preserve">Ground-truth evaluation point (1 = addressed, 0 = not addressed)</t>
  </si>
  <si>
    <t xml:space="preserve">E1 (4y)</t>
  </si>
  <si>
    <t xml:space="preserve">E2 (8y)</t>
  </si>
  <si>
    <t xml:space="preserve">E3 (12y)</t>
  </si>
  <si>
    <t xml:space="preserve">E4 (18y)</t>
  </si>
  <si>
    <t xml:space="preserve">E5 (25y)</t>
  </si>
  <si>
    <t xml:space="preserve">Mean</t>
  </si>
  <si>
    <t xml:space="preserve">Threat type</t>
  </si>
  <si>
    <t xml:space="preserve">Location</t>
  </si>
  <si>
    <t xml:space="preserve">Origin</t>
  </si>
  <si>
    <t xml:space="preserve">Time</t>
  </si>
  <si>
    <t xml:space="preserve">Environmental conditions</t>
  </si>
  <si>
    <t xml:space="preserve">Detection difficulty</t>
  </si>
  <si>
    <t xml:space="preserve">Drone limitation</t>
  </si>
  <si>
    <t xml:space="preserve">Initial signal</t>
  </si>
  <si>
    <t xml:space="preserve">AI role</t>
  </si>
  <si>
    <t xml:space="preserve">Correct assessment</t>
  </si>
  <si>
    <t xml:space="preserve">Correct response</t>
  </si>
  <si>
    <t xml:space="preserve">Operational priority</t>
  </si>
  <si>
    <t xml:space="preserve">Correct outcome</t>
  </si>
  <si>
    <t xml:space="preserve">Main metrics</t>
  </si>
  <si>
    <t xml:space="preserve">Items in checklist (N)</t>
  </si>
  <si>
    <t xml:space="preserve">True Positives (addressed)</t>
  </si>
  <si>
    <t xml:space="preserve">False Negatives (missed)</t>
  </si>
  <si>
    <t xml:space="preserve">False Positives (incorrect rec.)</t>
  </si>
  <si>
    <t xml:space="preserve">Precision = TP/(TP+FP)</t>
  </si>
  <si>
    <t xml:space="preserve">Recall = TP/(TP+FN)</t>
  </si>
  <si>
    <t xml:space="preserve">F1 = 2PR/(P+R)</t>
  </si>
  <si>
    <t xml:space="preserve">S2 (sc.5) - Drone Drug Delivery, Gibraltar  —  expert answers vs. ground-truth rubric</t>
  </si>
  <si>
    <t xml:space="preserve">Destination</t>
  </si>
  <si>
    <t xml:space="preserve">Environmental constraints</t>
  </si>
  <si>
    <t xml:space="preserve">Detection challenge</t>
  </si>
  <si>
    <t xml:space="preserve">Operational complication (maritime clutter)</t>
  </si>
  <si>
    <t xml:space="preserve">Threat pattern (multiple drones)</t>
  </si>
  <si>
    <t xml:space="preserve">Correct resource use (trajectory prioritisation)</t>
  </si>
  <si>
    <t xml:space="preserve">S3 (sc.9) - IED Smuggling, Rotterdam  —  expert answers vs. ground-truth rubric</t>
  </si>
  <si>
    <t xml:space="preserve">Operational setting (largest hub)</t>
  </si>
  <si>
    <t xml:space="preserve">Initial trigger (intel alert)</t>
  </si>
  <si>
    <t xml:space="preserve">Detection issue (ambiguous scans)</t>
  </si>
  <si>
    <t xml:space="preserve">Documentation issue (manifest fraud)</t>
  </si>
  <si>
    <t xml:space="preserve">Operational pressure (throughput)</t>
  </si>
  <si>
    <t xml:space="preserve">Correct assessment (3 high-risk containers)</t>
  </si>
  <si>
    <t xml:space="preserve">Correct response (isolate+inspect)</t>
  </si>
  <si>
    <t xml:space="preserve">Required teams (customs/port sec/EOD)</t>
  </si>
  <si>
    <t xml:space="preserve">Correct outcome (IEDs neutralised)</t>
  </si>
  <si>
    <t xml:space="preserve">S4 (sc.15) - AI Surveillance Failure, Finland  —  expert answers vs. ground-truth rubric</t>
  </si>
  <si>
    <t xml:space="preserve">Incident type (partial AI outage)</t>
  </si>
  <si>
    <t xml:space="preserve">Terrain (remote/forested)</t>
  </si>
  <si>
    <t xml:space="preserve">Weather (sub-zero/snow/fog)</t>
  </si>
  <si>
    <t xml:space="preserve">Main risk (exploit downtime)</t>
  </si>
  <si>
    <t xml:space="preserve">System failure (camera/radar)</t>
  </si>
  <si>
    <t xml:space="preserve">Human burden (manual sorting)</t>
  </si>
  <si>
    <t xml:space="preserve">Correct response (emergency prioritisation protocols)</t>
  </si>
  <si>
    <t xml:space="preserve">Prioritisation basis (geo vuln + breach patterns)</t>
  </si>
  <si>
    <t xml:space="preserve">Resource issue (limited patrols)</t>
  </si>
  <si>
    <t xml:space="preserve">Correct deployment (rapid patrols to priority)</t>
  </si>
  <si>
    <t xml:space="preserve">Correct outcome (intercept despite outage)</t>
  </si>
  <si>
    <t xml:space="preserve">Recovery (systems restored later)</t>
  </si>
  <si>
    <t xml:space="preserve">S5 (sc.17) - Mass Refugee Influx, Evros  —  expert answers vs. ground-truth rubric</t>
  </si>
  <si>
    <t xml:space="preserve">Crisis type (disaster-driven influx)</t>
  </si>
  <si>
    <t xml:space="preserve">Location (Evros)</t>
  </si>
  <si>
    <t xml:space="preserve">Cause (earthquake in Turkey)</t>
  </si>
  <si>
    <t xml:space="preserve">Timeframe (24-72h)</t>
  </si>
  <si>
    <t xml:space="preserve">Movement pattern (thousands westward)</t>
  </si>
  <si>
    <t xml:space="preserve">Terrain (rivers/forests/marshes)</t>
  </si>
  <si>
    <t xml:space="preserve">Environmental challenges (aftershocks/smoke/dust)</t>
  </si>
  <si>
    <t xml:space="preserve">Communication challenges</t>
  </si>
  <si>
    <t xml:space="preserve">Key actors (Greek/Frontex/UNHCR/RC)</t>
  </si>
  <si>
    <t xml:space="preserve">AI role (satellite/drone/social/ground)</t>
  </si>
  <si>
    <t xml:space="preserve">Correct assessment (predict points/sizes/times)</t>
  </si>
  <si>
    <t xml:space="preserve">Main operational challenge (balance humanitarian+security)</t>
  </si>
  <si>
    <t xml:space="preserve">Correct response (deploy both to sectors)</t>
  </si>
  <si>
    <t xml:space="preserve">Reception facilities (establish emergency)</t>
  </si>
  <si>
    <t xml:space="preserve">Resource allocation (AI-based)</t>
  </si>
  <si>
    <t xml:space="preserve">Correct outcome (managed + security kept)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</si>
</sst>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1F4E7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S1!G23</f>
        <v>1</v>
      </c>
      <c r="C5" s="5" t="n">
        <f aca="false">S1!G24</f>
        <v>0.971428571428572</v>
      </c>
      <c r="D5" s="5" t="n">
        <f aca="false">S1!G25</f>
        <v>0.985185185185185</v>
      </c>
      <c r="E5" s="6" t="n">
        <v>14</v>
      </c>
      <c r="F5" s="7" t="n">
        <f aca="false">C5*E5</f>
        <v>13.6</v>
      </c>
    </row>
    <row r="6" customFormat="false" ht="15" hidden="false" customHeight="false" outlineLevel="0" collapsed="false">
      <c r="A6" s="8" t="s">
        <v>9</v>
      </c>
      <c r="B6" s="9" t="n">
        <f aca="false">S2!G24</f>
        <v>1</v>
      </c>
      <c r="C6" s="9" t="n">
        <f aca="false">S2!G25</f>
        <v>0.866666666666667</v>
      </c>
      <c r="D6" s="9" t="n">
        <f aca="false">S2!G26</f>
        <v>0.923984674329502</v>
      </c>
      <c r="E6" s="10" t="n">
        <v>15</v>
      </c>
      <c r="F6" s="11" t="n">
        <f aca="false">C6*E6</f>
        <v>13</v>
      </c>
    </row>
    <row r="7" customFormat="false" ht="15" hidden="false" customHeight="false" outlineLevel="0" collapsed="false">
      <c r="A7" s="4" t="s">
        <v>10</v>
      </c>
      <c r="B7" s="5" t="n">
        <f aca="false">S3!G23</f>
        <v>1</v>
      </c>
      <c r="C7" s="5" t="n">
        <f aca="false">S3!G24</f>
        <v>0.771428571428572</v>
      </c>
      <c r="D7" s="5" t="n">
        <f aca="false">S3!G25</f>
        <v>0.865329189329189</v>
      </c>
      <c r="E7" s="6" t="n">
        <v>14</v>
      </c>
      <c r="F7" s="7" t="n">
        <f aca="false">C7*E7</f>
        <v>10.8</v>
      </c>
    </row>
    <row r="8" customFormat="false" ht="15" hidden="false" customHeight="false" outlineLevel="0" collapsed="false">
      <c r="A8" s="8" t="s">
        <v>11</v>
      </c>
      <c r="B8" s="9" t="n">
        <f aca="false">S4!G24</f>
        <v>1</v>
      </c>
      <c r="C8" s="9" t="n">
        <f aca="false">S4!G25</f>
        <v>0.906666666666667</v>
      </c>
      <c r="D8" s="9" t="n">
        <f aca="false">S4!G26</f>
        <v>0.949698960043788</v>
      </c>
      <c r="E8" s="10" t="n">
        <v>15</v>
      </c>
      <c r="F8" s="11" t="n">
        <f aca="false">C8*E8</f>
        <v>13.6</v>
      </c>
    </row>
    <row r="9" customFormat="false" ht="15" hidden="false" customHeight="false" outlineLevel="0" collapsed="false">
      <c r="A9" s="4" t="s">
        <v>12</v>
      </c>
      <c r="B9" s="5" t="n">
        <f aca="false">S5!G26</f>
        <v>1</v>
      </c>
      <c r="C9" s="5" t="n">
        <f aca="false">S5!G27</f>
        <v>0.823529411764706</v>
      </c>
      <c r="D9" s="5" t="n">
        <f aca="false">S5!G28</f>
        <v>0.900645161290323</v>
      </c>
      <c r="E9" s="6" t="n">
        <v>17</v>
      </c>
      <c r="F9" s="7" t="n">
        <f aca="false">C9*E9</f>
        <v>14</v>
      </c>
    </row>
    <row r="10" customFormat="false" ht="15" hidden="false" customHeight="false" outlineLevel="0" collapsed="false">
      <c r="A10" s="12" t="s">
        <v>13</v>
      </c>
      <c r="B10" s="13" t="n">
        <f aca="false">AVERAGE(B5:B9)</f>
        <v>1</v>
      </c>
      <c r="C10" s="13" t="n">
        <f aca="false">AVERAGE(C5:C9)</f>
        <v>0.867943977591036</v>
      </c>
      <c r="D10" s="13" t="n">
        <f aca="false">AVERAGE(D5:D9)</f>
        <v>0.924968634035597</v>
      </c>
      <c r="E10" s="14"/>
      <c r="F10" s="14"/>
    </row>
    <row r="13" customFormat="false" ht="15" hidden="false" customHeight="false" outlineLevel="0" collapsed="false">
      <c r="A13" s="15" t="s">
        <v>14</v>
      </c>
    </row>
    <row r="14" customFormat="false" ht="15" hidden="false" customHeight="false" outlineLevel="0" collapsed="false">
      <c r="A14" s="16" t="s">
        <v>15</v>
      </c>
    </row>
    <row r="15" customFormat="false" ht="15" hidden="false" customHeight="false" outlineLevel="0" collapsed="false">
      <c r="A15" s="16" t="s">
        <v>16</v>
      </c>
    </row>
    <row r="16" customFormat="false" ht="15" hidden="false" customHeight="false" outlineLevel="0" collapsed="false">
      <c r="A16" s="16" t="s">
        <v>17</v>
      </c>
    </row>
    <row r="17" customFormat="false" ht="15" hidden="false" customHeight="false" outlineLevel="0" collapsed="false">
      <c r="A17" s="16" t="s">
        <v>18</v>
      </c>
    </row>
    <row r="18" customFormat="false" ht="15" hidden="false" customHeight="false" outlineLevel="0" collapsed="false">
      <c r="A18" s="16" t="s">
        <v>19</v>
      </c>
    </row>
    <row r="19" customFormat="false" ht="15" hidden="false" customHeight="false" outlineLevel="0" collapsed="false">
      <c r="A19" s="16" t="s">
        <v>20</v>
      </c>
    </row>
    <row r="20" customFormat="false" ht="15" hidden="false" customHeight="false" outlineLevel="0" collapsed="false">
      <c r="A20" s="16" t="s">
        <v>21</v>
      </c>
    </row>
    <row r="21" customFormat="false" ht="15" hidden="false" customHeight="false" outlineLevel="0" collapsed="false">
      <c r="A21" s="16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7" min="2" style="0" width="11"/>
  </cols>
  <sheetData>
    <row r="1" customFormat="false" ht="16.15" hidden="false" customHeight="false" outlineLevel="0" collapsed="false">
      <c r="A1" s="17" t="s">
        <v>23</v>
      </c>
    </row>
    <row r="3" customFormat="false" ht="15" hidden="false" customHeight="false" outlineLevel="0" collapsed="false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</row>
    <row r="4" customFormat="false" ht="15" hidden="false" customHeight="false" outlineLevel="0" collapsed="false">
      <c r="A4" s="4" t="s">
        <v>31</v>
      </c>
      <c r="B4" s="6" t="n">
        <v>1</v>
      </c>
      <c r="C4" s="6" t="n">
        <v>1</v>
      </c>
      <c r="D4" s="6" t="n">
        <v>1</v>
      </c>
      <c r="E4" s="6" t="n">
        <v>1</v>
      </c>
      <c r="F4" s="6" t="n">
        <v>1</v>
      </c>
    </row>
    <row r="5" customFormat="false" ht="15" hidden="false" customHeight="false" outlineLevel="0" collapsed="false">
      <c r="A5" s="8" t="s">
        <v>32</v>
      </c>
      <c r="B5" s="10" t="n">
        <v>1</v>
      </c>
      <c r="C5" s="10" t="n">
        <v>1</v>
      </c>
      <c r="D5" s="10" t="n">
        <v>1</v>
      </c>
      <c r="E5" s="10" t="n">
        <v>1</v>
      </c>
      <c r="F5" s="10" t="n">
        <v>1</v>
      </c>
    </row>
    <row r="6" customFormat="false" ht="15" hidden="false" customHeight="false" outlineLevel="0" collapsed="false">
      <c r="A6" s="4" t="s">
        <v>33</v>
      </c>
      <c r="B6" s="6" t="n">
        <v>1</v>
      </c>
      <c r="C6" s="6" t="n">
        <v>1</v>
      </c>
      <c r="D6" s="6" t="n">
        <v>1</v>
      </c>
      <c r="E6" s="6" t="n">
        <v>1</v>
      </c>
      <c r="F6" s="6" t="n">
        <v>1</v>
      </c>
    </row>
    <row r="7" customFormat="false" ht="15" hidden="false" customHeight="false" outlineLevel="0" collapsed="false">
      <c r="A7" s="8" t="s">
        <v>34</v>
      </c>
      <c r="B7" s="10" t="n">
        <v>1</v>
      </c>
      <c r="C7" s="10" t="n">
        <v>0</v>
      </c>
      <c r="D7" s="10" t="n">
        <v>1</v>
      </c>
      <c r="E7" s="10" t="n">
        <v>0</v>
      </c>
      <c r="F7" s="10" t="n">
        <v>1</v>
      </c>
    </row>
    <row r="8" customFormat="false" ht="15" hidden="false" customHeight="false" outlineLevel="0" collapsed="false">
      <c r="A8" s="4" t="s">
        <v>35</v>
      </c>
      <c r="B8" s="6" t="n">
        <v>1</v>
      </c>
      <c r="C8" s="6" t="n">
        <v>1</v>
      </c>
      <c r="D8" s="6" t="n">
        <v>1</v>
      </c>
      <c r="E8" s="6" t="n">
        <v>1</v>
      </c>
      <c r="F8" s="6" t="n">
        <v>1</v>
      </c>
    </row>
    <row r="9" customFormat="false" ht="15" hidden="false" customHeight="false" outlineLevel="0" collapsed="false">
      <c r="A9" s="8" t="s">
        <v>36</v>
      </c>
      <c r="B9" s="10" t="n">
        <v>1</v>
      </c>
      <c r="C9" s="10" t="n">
        <v>1</v>
      </c>
      <c r="D9" s="10" t="n">
        <v>1</v>
      </c>
      <c r="E9" s="10" t="n">
        <v>1</v>
      </c>
      <c r="F9" s="10" t="n">
        <v>1</v>
      </c>
    </row>
    <row r="10" customFormat="false" ht="15" hidden="false" customHeight="false" outlineLevel="0" collapsed="false">
      <c r="A10" s="4" t="s">
        <v>37</v>
      </c>
      <c r="B10" s="6" t="n">
        <v>1</v>
      </c>
      <c r="C10" s="6" t="n">
        <v>1</v>
      </c>
      <c r="D10" s="6" t="n">
        <v>1</v>
      </c>
      <c r="E10" s="6" t="n">
        <v>1</v>
      </c>
      <c r="F10" s="6" t="n">
        <v>1</v>
      </c>
    </row>
    <row r="11" customFormat="false" ht="15" hidden="false" customHeight="false" outlineLevel="0" collapsed="false">
      <c r="A11" s="8" t="s">
        <v>38</v>
      </c>
      <c r="B11" s="10" t="n">
        <v>1</v>
      </c>
      <c r="C11" s="10" t="n">
        <v>1</v>
      </c>
      <c r="D11" s="10" t="n">
        <v>1</v>
      </c>
      <c r="E11" s="10" t="n">
        <v>1</v>
      </c>
      <c r="F11" s="10" t="n">
        <v>1</v>
      </c>
    </row>
    <row r="12" customFormat="false" ht="15" hidden="false" customHeight="false" outlineLevel="0" collapsed="false">
      <c r="A12" s="4" t="s">
        <v>39</v>
      </c>
      <c r="B12" s="6" t="n">
        <v>1</v>
      </c>
      <c r="C12" s="6" t="n">
        <v>1</v>
      </c>
      <c r="D12" s="6" t="n">
        <v>1</v>
      </c>
      <c r="E12" s="6" t="n">
        <v>1</v>
      </c>
      <c r="F12" s="6" t="n">
        <v>1</v>
      </c>
    </row>
    <row r="13" customFormat="false" ht="15" hidden="false" customHeight="false" outlineLevel="0" collapsed="false">
      <c r="A13" s="8" t="s">
        <v>40</v>
      </c>
      <c r="B13" s="10" t="n">
        <v>1</v>
      </c>
      <c r="C13" s="10" t="n">
        <v>1</v>
      </c>
      <c r="D13" s="10" t="n">
        <v>1</v>
      </c>
      <c r="E13" s="10" t="n">
        <v>1</v>
      </c>
      <c r="F13" s="10" t="n">
        <v>1</v>
      </c>
    </row>
    <row r="14" customFormat="false" ht="15" hidden="false" customHeight="false" outlineLevel="0" collapsed="false">
      <c r="A14" s="4" t="s">
        <v>41</v>
      </c>
      <c r="B14" s="6" t="n">
        <v>1</v>
      </c>
      <c r="C14" s="6" t="n">
        <v>1</v>
      </c>
      <c r="D14" s="6" t="n">
        <v>1</v>
      </c>
      <c r="E14" s="6" t="n">
        <v>1</v>
      </c>
      <c r="F14" s="6" t="n">
        <v>1</v>
      </c>
    </row>
    <row r="15" customFormat="false" ht="15" hidden="false" customHeight="false" outlineLevel="0" collapsed="false">
      <c r="A15" s="8" t="s">
        <v>42</v>
      </c>
      <c r="B15" s="10" t="n">
        <v>1</v>
      </c>
      <c r="C15" s="10" t="n">
        <v>1</v>
      </c>
      <c r="D15" s="10" t="n">
        <v>1</v>
      </c>
      <c r="E15" s="10" t="n">
        <v>1</v>
      </c>
      <c r="F15" s="10" t="n">
        <v>1</v>
      </c>
    </row>
    <row r="16" customFormat="false" ht="15" hidden="false" customHeight="false" outlineLevel="0" collapsed="false">
      <c r="A16" s="4" t="s">
        <v>43</v>
      </c>
      <c r="B16" s="6" t="n">
        <v>1</v>
      </c>
      <c r="C16" s="6" t="n">
        <v>1</v>
      </c>
      <c r="D16" s="6" t="n">
        <v>1</v>
      </c>
      <c r="E16" s="6" t="n">
        <v>1</v>
      </c>
      <c r="F16" s="6" t="n">
        <v>1</v>
      </c>
    </row>
    <row r="17" customFormat="false" ht="15" hidden="false" customHeight="false" outlineLevel="0" collapsed="false">
      <c r="A17" s="8" t="s">
        <v>44</v>
      </c>
      <c r="B17" s="10" t="n">
        <v>1</v>
      </c>
      <c r="C17" s="10" t="n">
        <v>1</v>
      </c>
      <c r="D17" s="10" t="n">
        <v>1</v>
      </c>
      <c r="E17" s="10" t="n">
        <v>1</v>
      </c>
      <c r="F17" s="10" t="n">
        <v>1</v>
      </c>
    </row>
    <row r="19" customFormat="false" ht="15" hidden="false" customHeight="false" outlineLevel="0" collapsed="false">
      <c r="A19" s="18" t="s">
        <v>45</v>
      </c>
      <c r="B19" s="19" t="n">
        <v>14</v>
      </c>
      <c r="C19" s="19" t="n">
        <v>14</v>
      </c>
      <c r="D19" s="19" t="n">
        <v>14</v>
      </c>
      <c r="E19" s="19" t="n">
        <v>14</v>
      </c>
      <c r="F19" s="19" t="n">
        <v>14</v>
      </c>
    </row>
    <row r="20" customFormat="false" ht="15" hidden="false" customHeight="false" outlineLevel="0" collapsed="false">
      <c r="A20" s="18" t="s">
        <v>46</v>
      </c>
      <c r="B20" s="19" t="n">
        <f aca="false">SUM(B4:B17)</f>
        <v>14</v>
      </c>
      <c r="C20" s="19" t="n">
        <f aca="false">SUM(C4:C17)</f>
        <v>13</v>
      </c>
      <c r="D20" s="19" t="n">
        <f aca="false">SUM(D4:D17)</f>
        <v>14</v>
      </c>
      <c r="E20" s="19" t="n">
        <f aca="false">SUM(E4:E17)</f>
        <v>13</v>
      </c>
      <c r="F20" s="19" t="n">
        <f aca="false">SUM(F4:F17)</f>
        <v>14</v>
      </c>
    </row>
    <row r="21" customFormat="false" ht="15" hidden="false" customHeight="false" outlineLevel="0" collapsed="false">
      <c r="A21" s="18" t="s">
        <v>47</v>
      </c>
      <c r="B21" s="19" t="n">
        <f aca="false">B19-B20</f>
        <v>0</v>
      </c>
      <c r="C21" s="19" t="n">
        <f aca="false">C19-C20</f>
        <v>1</v>
      </c>
      <c r="D21" s="19" t="n">
        <f aca="false">D19-D20</f>
        <v>0</v>
      </c>
      <c r="E21" s="19" t="n">
        <f aca="false">E19-E20</f>
        <v>1</v>
      </c>
      <c r="F21" s="19" t="n">
        <f aca="false">F19-F20</f>
        <v>0</v>
      </c>
    </row>
    <row r="22" customFormat="false" ht="15" hidden="false" customHeight="false" outlineLevel="0" collapsed="false">
      <c r="A22" s="18" t="s">
        <v>48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v>0</v>
      </c>
    </row>
    <row r="23" customFormat="false" ht="15" hidden="false" customHeight="false" outlineLevel="0" collapsed="false">
      <c r="A23" s="18" t="s">
        <v>49</v>
      </c>
      <c r="B23" s="20" t="n">
        <f aca="false">IFERROR(B20/(B20+B22),0)</f>
        <v>1</v>
      </c>
      <c r="C23" s="20" t="n">
        <f aca="false">IFERROR(C20/(C20+C22),0)</f>
        <v>1</v>
      </c>
      <c r="D23" s="20" t="n">
        <f aca="false">IFERROR(D20/(D20+D22),0)</f>
        <v>1</v>
      </c>
      <c r="E23" s="20" t="n">
        <f aca="false">IFERROR(E20/(E20+E22),0)</f>
        <v>1</v>
      </c>
      <c r="F23" s="20" t="n">
        <f aca="false">IFERROR(F20/(F20+F22),0)</f>
        <v>1</v>
      </c>
      <c r="G23" s="21" t="n">
        <f aca="false">AVERAGE(B23:F23)</f>
        <v>1</v>
      </c>
    </row>
    <row r="24" customFormat="false" ht="15" hidden="false" customHeight="false" outlineLevel="0" collapsed="false">
      <c r="A24" s="18" t="s">
        <v>50</v>
      </c>
      <c r="B24" s="20" t="n">
        <f aca="false">IFERROR(B20/(B20+B21),0)</f>
        <v>1</v>
      </c>
      <c r="C24" s="20" t="n">
        <f aca="false">IFERROR(C20/(C20+C21),0)</f>
        <v>0.928571428571429</v>
      </c>
      <c r="D24" s="20" t="n">
        <f aca="false">IFERROR(D20/(D20+D21),0)</f>
        <v>1</v>
      </c>
      <c r="E24" s="20" t="n">
        <f aca="false">IFERROR(E20/(E20+E21),0)</f>
        <v>0.928571428571429</v>
      </c>
      <c r="F24" s="20" t="n">
        <f aca="false">IFERROR(F20/(F20+F21),0)</f>
        <v>1</v>
      </c>
      <c r="G24" s="21" t="n">
        <f aca="false">AVERAGE(B24:F24)</f>
        <v>0.971428571428572</v>
      </c>
    </row>
    <row r="25" customFormat="false" ht="15" hidden="false" customHeight="false" outlineLevel="0" collapsed="false">
      <c r="A25" s="18" t="s">
        <v>51</v>
      </c>
      <c r="B25" s="20" t="n">
        <f aca="false">IFERROR(2*B23*B24/(B23+B24),0)</f>
        <v>1</v>
      </c>
      <c r="C25" s="20" t="n">
        <f aca="false">IFERROR(2*C23*C24/(C23+C24),0)</f>
        <v>0.962962962962963</v>
      </c>
      <c r="D25" s="20" t="n">
        <f aca="false">IFERROR(2*D23*D24/(D23+D24),0)</f>
        <v>1</v>
      </c>
      <c r="E25" s="20" t="n">
        <f aca="false">IFERROR(2*E23*E24/(E23+E24),0)</f>
        <v>0.962962962962963</v>
      </c>
      <c r="F25" s="20" t="n">
        <f aca="false">IFERROR(2*F23*F24/(F23+F24),0)</f>
        <v>1</v>
      </c>
      <c r="G25" s="21" t="n">
        <f aca="false">AVERAGE(B25:F25)</f>
        <v>0.985185185185185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7" min="2" style="0" width="11"/>
  </cols>
  <sheetData>
    <row r="1" customFormat="false" ht="16.15" hidden="false" customHeight="false" outlineLevel="0" collapsed="false">
      <c r="A1" s="17" t="s">
        <v>52</v>
      </c>
    </row>
    <row r="3" customFormat="false" ht="15" hidden="false" customHeight="false" outlineLevel="0" collapsed="false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</row>
    <row r="4" customFormat="false" ht="15" hidden="false" customHeight="false" outlineLevel="0" collapsed="false">
      <c r="A4" s="4" t="s">
        <v>31</v>
      </c>
      <c r="B4" s="6" t="n">
        <v>1</v>
      </c>
      <c r="C4" s="6" t="n">
        <v>1</v>
      </c>
      <c r="D4" s="6" t="n">
        <v>1</v>
      </c>
      <c r="E4" s="6" t="n">
        <v>1</v>
      </c>
      <c r="F4" s="6" t="n">
        <v>1</v>
      </c>
    </row>
    <row r="5" customFormat="false" ht="15" hidden="false" customHeight="false" outlineLevel="0" collapsed="false">
      <c r="A5" s="8" t="s">
        <v>32</v>
      </c>
      <c r="B5" s="10" t="n">
        <v>1</v>
      </c>
      <c r="C5" s="10" t="n">
        <v>1</v>
      </c>
      <c r="D5" s="10" t="n">
        <v>0</v>
      </c>
      <c r="E5" s="10" t="n">
        <v>0</v>
      </c>
      <c r="F5" s="10" t="n">
        <v>1</v>
      </c>
    </row>
    <row r="6" customFormat="false" ht="15" hidden="false" customHeight="false" outlineLevel="0" collapsed="false">
      <c r="A6" s="4" t="s">
        <v>33</v>
      </c>
      <c r="B6" s="6" t="n">
        <v>1</v>
      </c>
      <c r="C6" s="6" t="n">
        <v>1</v>
      </c>
      <c r="D6" s="6" t="n">
        <v>1</v>
      </c>
      <c r="E6" s="6" t="n">
        <v>0</v>
      </c>
      <c r="F6" s="6" t="n">
        <v>0</v>
      </c>
    </row>
    <row r="7" customFormat="false" ht="15" hidden="false" customHeight="false" outlineLevel="0" collapsed="false">
      <c r="A7" s="8" t="s">
        <v>53</v>
      </c>
      <c r="B7" s="10" t="n">
        <v>1</v>
      </c>
      <c r="C7" s="10" t="n">
        <v>1</v>
      </c>
      <c r="D7" s="10" t="n">
        <v>1</v>
      </c>
      <c r="E7" s="10" t="n">
        <v>0</v>
      </c>
      <c r="F7" s="10" t="n">
        <v>0</v>
      </c>
    </row>
    <row r="8" customFormat="false" ht="15" hidden="false" customHeight="false" outlineLevel="0" collapsed="false">
      <c r="A8" s="4" t="s">
        <v>34</v>
      </c>
      <c r="B8" s="6" t="n">
        <v>1</v>
      </c>
      <c r="C8" s="6" t="n">
        <v>0</v>
      </c>
      <c r="D8" s="6" t="n">
        <v>1</v>
      </c>
      <c r="E8" s="6" t="n">
        <v>1</v>
      </c>
      <c r="F8" s="6" t="n">
        <v>0</v>
      </c>
    </row>
    <row r="9" customFormat="false" ht="15" hidden="false" customHeight="false" outlineLevel="0" collapsed="false">
      <c r="A9" s="8" t="s">
        <v>54</v>
      </c>
      <c r="B9" s="10" t="n">
        <v>1</v>
      </c>
      <c r="C9" s="10" t="n">
        <v>1</v>
      </c>
      <c r="D9" s="10" t="n">
        <v>1</v>
      </c>
      <c r="E9" s="10" t="n">
        <v>0</v>
      </c>
      <c r="F9" s="10" t="n">
        <v>1</v>
      </c>
    </row>
    <row r="10" customFormat="false" ht="15" hidden="false" customHeight="false" outlineLevel="0" collapsed="false">
      <c r="A10" s="4" t="s">
        <v>55</v>
      </c>
      <c r="B10" s="6" t="n">
        <v>1</v>
      </c>
      <c r="C10" s="6" t="n">
        <v>1</v>
      </c>
      <c r="D10" s="6" t="n">
        <v>1</v>
      </c>
      <c r="E10" s="6" t="n">
        <v>1</v>
      </c>
      <c r="F10" s="6" t="n">
        <v>1</v>
      </c>
    </row>
    <row r="11" customFormat="false" ht="15" hidden="false" customHeight="false" outlineLevel="0" collapsed="false">
      <c r="A11" s="8" t="s">
        <v>56</v>
      </c>
      <c r="B11" s="10" t="n">
        <v>1</v>
      </c>
      <c r="C11" s="10" t="n">
        <v>1</v>
      </c>
      <c r="D11" s="10" t="n">
        <v>1</v>
      </c>
      <c r="E11" s="10" t="n">
        <v>0</v>
      </c>
      <c r="F11" s="10" t="n">
        <v>1</v>
      </c>
    </row>
    <row r="12" customFormat="false" ht="15" hidden="false" customHeight="false" outlineLevel="0" collapsed="false">
      <c r="A12" s="4" t="s">
        <v>57</v>
      </c>
      <c r="B12" s="6" t="n">
        <v>1</v>
      </c>
      <c r="C12" s="6" t="n">
        <v>1</v>
      </c>
      <c r="D12" s="6" t="n">
        <v>1</v>
      </c>
      <c r="E12" s="6" t="n">
        <v>1</v>
      </c>
      <c r="F12" s="6" t="n">
        <v>1</v>
      </c>
    </row>
    <row r="13" customFormat="false" ht="15" hidden="false" customHeight="false" outlineLevel="0" collapsed="false">
      <c r="A13" s="8" t="s">
        <v>39</v>
      </c>
      <c r="B13" s="10" t="n">
        <v>1</v>
      </c>
      <c r="C13" s="10" t="n">
        <v>1</v>
      </c>
      <c r="D13" s="10" t="n">
        <v>1</v>
      </c>
      <c r="E13" s="10" t="n">
        <v>1</v>
      </c>
      <c r="F13" s="10" t="n">
        <v>1</v>
      </c>
    </row>
    <row r="14" customFormat="false" ht="15" hidden="false" customHeight="false" outlineLevel="0" collapsed="false">
      <c r="A14" s="4" t="s">
        <v>40</v>
      </c>
      <c r="B14" s="6" t="n">
        <v>1</v>
      </c>
      <c r="C14" s="6" t="n">
        <v>1</v>
      </c>
      <c r="D14" s="6" t="n">
        <v>1</v>
      </c>
      <c r="E14" s="6" t="n">
        <v>1</v>
      </c>
      <c r="F14" s="6" t="n">
        <v>1</v>
      </c>
    </row>
    <row r="15" customFormat="false" ht="15" hidden="false" customHeight="false" outlineLevel="0" collapsed="false">
      <c r="A15" s="8" t="s">
        <v>41</v>
      </c>
      <c r="B15" s="10" t="n">
        <v>1</v>
      </c>
      <c r="C15" s="10" t="n">
        <v>1</v>
      </c>
      <c r="D15" s="10" t="n">
        <v>1</v>
      </c>
      <c r="E15" s="10" t="n">
        <v>1</v>
      </c>
      <c r="F15" s="10" t="n">
        <v>1</v>
      </c>
    </row>
    <row r="16" customFormat="false" ht="15" hidden="false" customHeight="false" outlineLevel="0" collapsed="false">
      <c r="A16" s="4" t="s">
        <v>58</v>
      </c>
      <c r="B16" s="6" t="n">
        <v>1</v>
      </c>
      <c r="C16" s="6" t="n">
        <v>1</v>
      </c>
      <c r="D16" s="6" t="n">
        <v>1</v>
      </c>
      <c r="E16" s="6" t="n">
        <v>1</v>
      </c>
      <c r="F16" s="6" t="n">
        <v>1</v>
      </c>
    </row>
    <row r="17" customFormat="false" ht="15" hidden="false" customHeight="false" outlineLevel="0" collapsed="false">
      <c r="A17" s="8" t="s">
        <v>43</v>
      </c>
      <c r="B17" s="10" t="n">
        <v>1</v>
      </c>
      <c r="C17" s="10" t="n">
        <v>1</v>
      </c>
      <c r="D17" s="10" t="n">
        <v>1</v>
      </c>
      <c r="E17" s="10" t="n">
        <v>1</v>
      </c>
      <c r="F17" s="10" t="n">
        <v>1</v>
      </c>
    </row>
    <row r="18" customFormat="false" ht="15" hidden="false" customHeight="false" outlineLevel="0" collapsed="false">
      <c r="A18" s="4" t="s">
        <v>44</v>
      </c>
      <c r="B18" s="6" t="n">
        <v>1</v>
      </c>
      <c r="C18" s="6" t="n">
        <v>1</v>
      </c>
      <c r="D18" s="6" t="n">
        <v>1</v>
      </c>
      <c r="E18" s="6" t="n">
        <v>1</v>
      </c>
      <c r="F18" s="6" t="n">
        <v>1</v>
      </c>
    </row>
    <row r="20" customFormat="false" ht="15" hidden="false" customHeight="false" outlineLevel="0" collapsed="false">
      <c r="A20" s="18" t="s">
        <v>45</v>
      </c>
      <c r="B20" s="19" t="n">
        <v>15</v>
      </c>
      <c r="C20" s="19" t="n">
        <v>15</v>
      </c>
      <c r="D20" s="19" t="n">
        <v>15</v>
      </c>
      <c r="E20" s="19" t="n">
        <v>15</v>
      </c>
      <c r="F20" s="19" t="n">
        <v>15</v>
      </c>
    </row>
    <row r="21" customFormat="false" ht="15" hidden="false" customHeight="false" outlineLevel="0" collapsed="false">
      <c r="A21" s="18" t="s">
        <v>46</v>
      </c>
      <c r="B21" s="19" t="n">
        <f aca="false">SUM(B4:B18)</f>
        <v>15</v>
      </c>
      <c r="C21" s="19" t="n">
        <f aca="false">SUM(C4:C18)</f>
        <v>14</v>
      </c>
      <c r="D21" s="19" t="n">
        <f aca="false">SUM(D4:D18)</f>
        <v>14</v>
      </c>
      <c r="E21" s="19" t="n">
        <f aca="false">SUM(E4:E18)</f>
        <v>10</v>
      </c>
      <c r="F21" s="19" t="n">
        <f aca="false">SUM(F4:F18)</f>
        <v>12</v>
      </c>
    </row>
    <row r="22" customFormat="false" ht="15" hidden="false" customHeight="false" outlineLevel="0" collapsed="false">
      <c r="A22" s="18" t="s">
        <v>47</v>
      </c>
      <c r="B22" s="19" t="n">
        <f aca="false">B20-B21</f>
        <v>0</v>
      </c>
      <c r="C22" s="19" t="n">
        <f aca="false">C20-C21</f>
        <v>1</v>
      </c>
      <c r="D22" s="19" t="n">
        <f aca="false">D20-D21</f>
        <v>1</v>
      </c>
      <c r="E22" s="19" t="n">
        <f aca="false">E20-E21</f>
        <v>5</v>
      </c>
      <c r="F22" s="19" t="n">
        <f aca="false">F20-F21</f>
        <v>3</v>
      </c>
    </row>
    <row r="23" customFormat="false" ht="15" hidden="false" customHeight="false" outlineLevel="0" collapsed="false">
      <c r="A23" s="18" t="s">
        <v>48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v>0</v>
      </c>
    </row>
    <row r="24" customFormat="false" ht="15" hidden="false" customHeight="false" outlineLevel="0" collapsed="false">
      <c r="A24" s="18" t="s">
        <v>49</v>
      </c>
      <c r="B24" s="20" t="n">
        <f aca="false">IFERROR(B21/(B21+B23),0)</f>
        <v>1</v>
      </c>
      <c r="C24" s="20" t="n">
        <f aca="false">IFERROR(C21/(C21+C23),0)</f>
        <v>1</v>
      </c>
      <c r="D24" s="20" t="n">
        <f aca="false">IFERROR(D21/(D21+D23),0)</f>
        <v>1</v>
      </c>
      <c r="E24" s="20" t="n">
        <f aca="false">IFERROR(E21/(E21+E23),0)</f>
        <v>1</v>
      </c>
      <c r="F24" s="20" t="n">
        <f aca="false">IFERROR(F21/(F21+F23),0)</f>
        <v>1</v>
      </c>
      <c r="G24" s="21" t="n">
        <f aca="false">AVERAGE(B24:F24)</f>
        <v>1</v>
      </c>
    </row>
    <row r="25" customFormat="false" ht="15" hidden="false" customHeight="false" outlineLevel="0" collapsed="false">
      <c r="A25" s="18" t="s">
        <v>50</v>
      </c>
      <c r="B25" s="20" t="n">
        <f aca="false">IFERROR(B21/(B21+B22),0)</f>
        <v>1</v>
      </c>
      <c r="C25" s="20" t="n">
        <f aca="false">IFERROR(C21/(C21+C22),0)</f>
        <v>0.933333333333333</v>
      </c>
      <c r="D25" s="20" t="n">
        <f aca="false">IFERROR(D21/(D21+D22),0)</f>
        <v>0.933333333333333</v>
      </c>
      <c r="E25" s="20" t="n">
        <f aca="false">IFERROR(E21/(E21+E22),0)</f>
        <v>0.666666666666667</v>
      </c>
      <c r="F25" s="20" t="n">
        <f aca="false">IFERROR(F21/(F21+F22),0)</f>
        <v>0.8</v>
      </c>
      <c r="G25" s="21" t="n">
        <f aca="false">AVERAGE(B25:F25)</f>
        <v>0.866666666666667</v>
      </c>
    </row>
    <row r="26" customFormat="false" ht="15" hidden="false" customHeight="false" outlineLevel="0" collapsed="false">
      <c r="A26" s="18" t="s">
        <v>51</v>
      </c>
      <c r="B26" s="20" t="n">
        <f aca="false">IFERROR(2*B24*B25/(B24+B25),0)</f>
        <v>1</v>
      </c>
      <c r="C26" s="20" t="n">
        <f aca="false">IFERROR(2*C24*C25/(C24+C25),0)</f>
        <v>0.96551724137931</v>
      </c>
      <c r="D26" s="20" t="n">
        <f aca="false">IFERROR(2*D24*D25/(D24+D25),0)</f>
        <v>0.96551724137931</v>
      </c>
      <c r="E26" s="20" t="n">
        <f aca="false">IFERROR(2*E24*E25/(E24+E25),0)</f>
        <v>0.8</v>
      </c>
      <c r="F26" s="20" t="n">
        <f aca="false">IFERROR(2*F24*F25/(F24+F25),0)</f>
        <v>0.888888888888889</v>
      </c>
      <c r="G26" s="21" t="n">
        <f aca="false">AVERAGE(B26:F26)</f>
        <v>0.923984674329502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7" min="2" style="0" width="11"/>
  </cols>
  <sheetData>
    <row r="1" customFormat="false" ht="16.15" hidden="false" customHeight="false" outlineLevel="0" collapsed="false">
      <c r="A1" s="17" t="s">
        <v>59</v>
      </c>
    </row>
    <row r="3" customFormat="false" ht="15" hidden="false" customHeight="false" outlineLevel="0" collapsed="false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</row>
    <row r="4" customFormat="false" ht="15" hidden="false" customHeight="false" outlineLevel="0" collapsed="false">
      <c r="A4" s="4" t="s">
        <v>31</v>
      </c>
      <c r="B4" s="6" t="n">
        <v>1</v>
      </c>
      <c r="C4" s="6" t="n">
        <v>1</v>
      </c>
      <c r="D4" s="6" t="n">
        <v>1</v>
      </c>
      <c r="E4" s="6" t="n">
        <v>1</v>
      </c>
      <c r="F4" s="6" t="n">
        <v>1</v>
      </c>
    </row>
    <row r="5" customFormat="false" ht="15" hidden="false" customHeight="false" outlineLevel="0" collapsed="false">
      <c r="A5" s="8" t="s">
        <v>32</v>
      </c>
      <c r="B5" s="10" t="n">
        <v>1</v>
      </c>
      <c r="C5" s="10" t="n">
        <v>0</v>
      </c>
      <c r="D5" s="10" t="n">
        <v>1</v>
      </c>
      <c r="E5" s="10" t="n">
        <v>0</v>
      </c>
      <c r="F5" s="10" t="n">
        <v>0</v>
      </c>
    </row>
    <row r="6" customFormat="false" ht="15" hidden="false" customHeight="false" outlineLevel="0" collapsed="false">
      <c r="A6" s="4" t="s">
        <v>60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</row>
    <row r="7" customFormat="false" ht="15" hidden="false" customHeight="false" outlineLevel="0" collapsed="false">
      <c r="A7" s="8" t="s">
        <v>34</v>
      </c>
      <c r="B7" s="10" t="n">
        <v>1</v>
      </c>
      <c r="C7" s="10" t="n">
        <v>0</v>
      </c>
      <c r="D7" s="10" t="n">
        <v>0</v>
      </c>
      <c r="E7" s="10" t="n">
        <v>0</v>
      </c>
      <c r="F7" s="10" t="n">
        <v>0</v>
      </c>
    </row>
    <row r="8" customFormat="false" ht="15" hidden="false" customHeight="false" outlineLevel="0" collapsed="false">
      <c r="A8" s="4" t="s">
        <v>61</v>
      </c>
      <c r="B8" s="6" t="n">
        <v>1</v>
      </c>
      <c r="C8" s="6" t="n">
        <v>1</v>
      </c>
      <c r="D8" s="6" t="n">
        <v>1</v>
      </c>
      <c r="E8" s="6" t="n">
        <v>1</v>
      </c>
      <c r="F8" s="6" t="n">
        <v>0</v>
      </c>
    </row>
    <row r="9" customFormat="false" ht="15" hidden="false" customHeight="false" outlineLevel="0" collapsed="false">
      <c r="A9" s="8" t="s">
        <v>62</v>
      </c>
      <c r="B9" s="10" t="n">
        <v>1</v>
      </c>
      <c r="C9" s="10" t="n">
        <v>1</v>
      </c>
      <c r="D9" s="10" t="n">
        <v>1</v>
      </c>
      <c r="E9" s="10" t="n">
        <v>1</v>
      </c>
      <c r="F9" s="10" t="n">
        <v>0</v>
      </c>
    </row>
    <row r="10" customFormat="false" ht="15" hidden="false" customHeight="false" outlineLevel="0" collapsed="false">
      <c r="A10" s="4" t="s">
        <v>63</v>
      </c>
      <c r="B10" s="6" t="n">
        <v>1</v>
      </c>
      <c r="C10" s="6" t="n">
        <v>0</v>
      </c>
      <c r="D10" s="6" t="n">
        <v>1</v>
      </c>
      <c r="E10" s="6" t="n">
        <v>1</v>
      </c>
      <c r="F10" s="6" t="n">
        <v>0</v>
      </c>
    </row>
    <row r="11" customFormat="false" ht="15" hidden="false" customHeight="false" outlineLevel="0" collapsed="false">
      <c r="A11" s="8" t="s">
        <v>64</v>
      </c>
      <c r="B11" s="10" t="n">
        <v>1</v>
      </c>
      <c r="C11" s="10" t="n">
        <v>1</v>
      </c>
      <c r="D11" s="10" t="n">
        <v>1</v>
      </c>
      <c r="E11" s="10" t="n">
        <v>1</v>
      </c>
      <c r="F11" s="10" t="n">
        <v>1</v>
      </c>
    </row>
    <row r="12" customFormat="false" ht="15" hidden="false" customHeight="false" outlineLevel="0" collapsed="false">
      <c r="A12" s="4" t="s">
        <v>39</v>
      </c>
      <c r="B12" s="6" t="n">
        <v>1</v>
      </c>
      <c r="C12" s="6" t="n">
        <v>1</v>
      </c>
      <c r="D12" s="6" t="n">
        <v>1</v>
      </c>
      <c r="E12" s="6" t="n">
        <v>1</v>
      </c>
      <c r="F12" s="6" t="n">
        <v>1</v>
      </c>
    </row>
    <row r="13" customFormat="false" ht="15" hidden="false" customHeight="false" outlineLevel="0" collapsed="false">
      <c r="A13" s="8" t="s">
        <v>65</v>
      </c>
      <c r="B13" s="10" t="n">
        <v>1</v>
      </c>
      <c r="C13" s="10" t="n">
        <v>1</v>
      </c>
      <c r="D13" s="10" t="n">
        <v>1</v>
      </c>
      <c r="E13" s="10" t="n">
        <v>1</v>
      </c>
      <c r="F13" s="10" t="n">
        <v>1</v>
      </c>
    </row>
    <row r="14" customFormat="false" ht="15" hidden="false" customHeight="false" outlineLevel="0" collapsed="false">
      <c r="A14" s="4" t="s">
        <v>66</v>
      </c>
      <c r="B14" s="6" t="n">
        <v>1</v>
      </c>
      <c r="C14" s="6" t="n">
        <v>1</v>
      </c>
      <c r="D14" s="6" t="n">
        <v>1</v>
      </c>
      <c r="E14" s="6" t="n">
        <v>1</v>
      </c>
      <c r="F14" s="6" t="n">
        <v>1</v>
      </c>
    </row>
    <row r="15" customFormat="false" ht="15" hidden="false" customHeight="false" outlineLevel="0" collapsed="false">
      <c r="A15" s="8" t="s">
        <v>67</v>
      </c>
      <c r="B15" s="10" t="n">
        <v>1</v>
      </c>
      <c r="C15" s="10" t="n">
        <v>1</v>
      </c>
      <c r="D15" s="10" t="n">
        <v>1</v>
      </c>
      <c r="E15" s="10" t="n">
        <v>1</v>
      </c>
      <c r="F15" s="10" t="n">
        <v>1</v>
      </c>
    </row>
    <row r="16" customFormat="false" ht="15" hidden="false" customHeight="false" outlineLevel="0" collapsed="false">
      <c r="A16" s="4" t="s">
        <v>68</v>
      </c>
      <c r="B16" s="6" t="n">
        <v>1</v>
      </c>
      <c r="C16" s="6" t="n">
        <v>1</v>
      </c>
      <c r="D16" s="6" t="n">
        <v>1</v>
      </c>
      <c r="E16" s="6" t="n">
        <v>1</v>
      </c>
      <c r="F16" s="6" t="n">
        <v>1</v>
      </c>
    </row>
    <row r="17" customFormat="false" ht="15" hidden="false" customHeight="false" outlineLevel="0" collapsed="false">
      <c r="A17" s="8" t="s">
        <v>44</v>
      </c>
      <c r="B17" s="10" t="n">
        <v>1</v>
      </c>
      <c r="C17" s="10" t="n">
        <v>1</v>
      </c>
      <c r="D17" s="10" t="n">
        <v>1</v>
      </c>
      <c r="E17" s="10" t="n">
        <v>1</v>
      </c>
      <c r="F17" s="10" t="n">
        <v>1</v>
      </c>
    </row>
    <row r="19" customFormat="false" ht="15" hidden="false" customHeight="false" outlineLevel="0" collapsed="false">
      <c r="A19" s="18" t="s">
        <v>45</v>
      </c>
      <c r="B19" s="19" t="n">
        <v>14</v>
      </c>
      <c r="C19" s="19" t="n">
        <v>14</v>
      </c>
      <c r="D19" s="19" t="n">
        <v>14</v>
      </c>
      <c r="E19" s="19" t="n">
        <v>14</v>
      </c>
      <c r="F19" s="19" t="n">
        <v>14</v>
      </c>
    </row>
    <row r="20" customFormat="false" ht="15" hidden="false" customHeight="false" outlineLevel="0" collapsed="false">
      <c r="A20" s="18" t="s">
        <v>46</v>
      </c>
      <c r="B20" s="19" t="n">
        <f aca="false">SUM(B4:B17)</f>
        <v>13</v>
      </c>
      <c r="C20" s="19" t="n">
        <f aca="false">SUM(C4:C17)</f>
        <v>10</v>
      </c>
      <c r="D20" s="19" t="n">
        <f aca="false">SUM(D4:D17)</f>
        <v>12</v>
      </c>
      <c r="E20" s="19" t="n">
        <f aca="false">SUM(E4:E17)</f>
        <v>11</v>
      </c>
      <c r="F20" s="19" t="n">
        <f aca="false">SUM(F4:F17)</f>
        <v>8</v>
      </c>
    </row>
    <row r="21" customFormat="false" ht="15" hidden="false" customHeight="false" outlineLevel="0" collapsed="false">
      <c r="A21" s="18" t="s">
        <v>47</v>
      </c>
      <c r="B21" s="19" t="n">
        <f aca="false">B19-B20</f>
        <v>1</v>
      </c>
      <c r="C21" s="19" t="n">
        <f aca="false">C19-C20</f>
        <v>4</v>
      </c>
      <c r="D21" s="19" t="n">
        <f aca="false">D19-D20</f>
        <v>2</v>
      </c>
      <c r="E21" s="19" t="n">
        <f aca="false">E19-E20</f>
        <v>3</v>
      </c>
      <c r="F21" s="19" t="n">
        <f aca="false">F19-F20</f>
        <v>6</v>
      </c>
    </row>
    <row r="22" customFormat="false" ht="15" hidden="false" customHeight="false" outlineLevel="0" collapsed="false">
      <c r="A22" s="18" t="s">
        <v>48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v>0</v>
      </c>
    </row>
    <row r="23" customFormat="false" ht="15" hidden="false" customHeight="false" outlineLevel="0" collapsed="false">
      <c r="A23" s="18" t="s">
        <v>49</v>
      </c>
      <c r="B23" s="20" t="n">
        <f aca="false">IFERROR(B20/(B20+B22),0)</f>
        <v>1</v>
      </c>
      <c r="C23" s="20" t="n">
        <f aca="false">IFERROR(C20/(C20+C22),0)</f>
        <v>1</v>
      </c>
      <c r="D23" s="20" t="n">
        <f aca="false">IFERROR(D20/(D20+D22),0)</f>
        <v>1</v>
      </c>
      <c r="E23" s="20" t="n">
        <f aca="false">IFERROR(E20/(E20+E22),0)</f>
        <v>1</v>
      </c>
      <c r="F23" s="20" t="n">
        <f aca="false">IFERROR(F20/(F20+F22),0)</f>
        <v>1</v>
      </c>
      <c r="G23" s="21" t="n">
        <f aca="false">AVERAGE(B23:F23)</f>
        <v>1</v>
      </c>
    </row>
    <row r="24" customFormat="false" ht="15" hidden="false" customHeight="false" outlineLevel="0" collapsed="false">
      <c r="A24" s="18" t="s">
        <v>50</v>
      </c>
      <c r="B24" s="20" t="n">
        <f aca="false">IFERROR(B20/(B20+B21),0)</f>
        <v>0.928571428571429</v>
      </c>
      <c r="C24" s="20" t="n">
        <f aca="false">IFERROR(C20/(C20+C21),0)</f>
        <v>0.714285714285714</v>
      </c>
      <c r="D24" s="20" t="n">
        <f aca="false">IFERROR(D20/(D20+D21),0)</f>
        <v>0.857142857142857</v>
      </c>
      <c r="E24" s="20" t="n">
        <f aca="false">IFERROR(E20/(E20+E21),0)</f>
        <v>0.785714285714286</v>
      </c>
      <c r="F24" s="20" t="n">
        <f aca="false">IFERROR(F20/(F20+F21),0)</f>
        <v>0.571428571428571</v>
      </c>
      <c r="G24" s="21" t="n">
        <f aca="false">AVERAGE(B24:F24)</f>
        <v>0.771428571428572</v>
      </c>
    </row>
    <row r="25" customFormat="false" ht="15" hidden="false" customHeight="false" outlineLevel="0" collapsed="false">
      <c r="A25" s="18" t="s">
        <v>51</v>
      </c>
      <c r="B25" s="20" t="n">
        <f aca="false">IFERROR(2*B23*B24/(B23+B24),0)</f>
        <v>0.962962962962963</v>
      </c>
      <c r="C25" s="20" t="n">
        <f aca="false">IFERROR(2*C23*C24/(C23+C24),0)</f>
        <v>0.833333333333333</v>
      </c>
      <c r="D25" s="20" t="n">
        <f aca="false">IFERROR(2*D23*D24/(D23+D24),0)</f>
        <v>0.923076923076923</v>
      </c>
      <c r="E25" s="20" t="n">
        <f aca="false">IFERROR(2*E23*E24/(E23+E24),0)</f>
        <v>0.88</v>
      </c>
      <c r="F25" s="20" t="n">
        <f aca="false">IFERROR(2*F23*F24/(F23+F24),0)</f>
        <v>0.727272727272727</v>
      </c>
      <c r="G25" s="21" t="n">
        <f aca="false">AVERAGE(B25:F25)</f>
        <v>0.865329189329189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7" min="2" style="0" width="11"/>
  </cols>
  <sheetData>
    <row r="1" customFormat="false" ht="16.15" hidden="false" customHeight="false" outlineLevel="0" collapsed="false">
      <c r="A1" s="17" t="s">
        <v>69</v>
      </c>
    </row>
    <row r="3" customFormat="false" ht="15" hidden="false" customHeight="false" outlineLevel="0" collapsed="false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</row>
    <row r="4" customFormat="false" ht="15" hidden="false" customHeight="false" outlineLevel="0" collapsed="false">
      <c r="A4" s="4" t="s">
        <v>70</v>
      </c>
      <c r="B4" s="6" t="n">
        <v>1</v>
      </c>
      <c r="C4" s="6" t="n">
        <v>1</v>
      </c>
      <c r="D4" s="6" t="n">
        <v>1</v>
      </c>
      <c r="E4" s="6" t="n">
        <v>1</v>
      </c>
      <c r="F4" s="6" t="n">
        <v>1</v>
      </c>
    </row>
    <row r="5" customFormat="false" ht="15" hidden="false" customHeight="false" outlineLevel="0" collapsed="false">
      <c r="A5" s="8" t="s">
        <v>32</v>
      </c>
      <c r="B5" s="10" t="n">
        <v>1</v>
      </c>
      <c r="C5" s="10" t="n">
        <v>1</v>
      </c>
      <c r="D5" s="10" t="n">
        <v>1</v>
      </c>
      <c r="E5" s="10" t="n">
        <v>0</v>
      </c>
      <c r="F5" s="10" t="n">
        <v>0</v>
      </c>
    </row>
    <row r="6" customFormat="false" ht="15" hidden="false" customHeight="false" outlineLevel="0" collapsed="false">
      <c r="A6" s="4" t="s">
        <v>34</v>
      </c>
      <c r="B6" s="6" t="n">
        <v>1</v>
      </c>
      <c r="C6" s="6" t="n">
        <v>1</v>
      </c>
      <c r="D6" s="6" t="n">
        <v>1</v>
      </c>
      <c r="E6" s="6" t="n">
        <v>1</v>
      </c>
      <c r="F6" s="6" t="n">
        <v>1</v>
      </c>
    </row>
    <row r="7" customFormat="false" ht="15" hidden="false" customHeight="false" outlineLevel="0" collapsed="false">
      <c r="A7" s="8" t="s">
        <v>71</v>
      </c>
      <c r="B7" s="10" t="n">
        <v>1</v>
      </c>
      <c r="C7" s="10" t="n">
        <v>1</v>
      </c>
      <c r="D7" s="10" t="n">
        <v>0</v>
      </c>
      <c r="E7" s="10" t="n">
        <v>1</v>
      </c>
      <c r="F7" s="10" t="n">
        <v>0</v>
      </c>
    </row>
    <row r="8" customFormat="false" ht="15" hidden="false" customHeight="false" outlineLevel="0" collapsed="false">
      <c r="A8" s="4" t="s">
        <v>72</v>
      </c>
      <c r="B8" s="6" t="n">
        <v>1</v>
      </c>
      <c r="C8" s="6" t="n">
        <v>1</v>
      </c>
      <c r="D8" s="6" t="n">
        <v>1</v>
      </c>
      <c r="E8" s="6" t="n">
        <v>1</v>
      </c>
      <c r="F8" s="6" t="n">
        <v>1</v>
      </c>
    </row>
    <row r="9" customFormat="false" ht="15" hidden="false" customHeight="false" outlineLevel="0" collapsed="false">
      <c r="A9" s="8" t="s">
        <v>73</v>
      </c>
      <c r="B9" s="10" t="n">
        <v>1</v>
      </c>
      <c r="C9" s="10" t="n">
        <v>1</v>
      </c>
      <c r="D9" s="10" t="n">
        <v>1</v>
      </c>
      <c r="E9" s="10" t="n">
        <v>1</v>
      </c>
      <c r="F9" s="10" t="n">
        <v>1</v>
      </c>
    </row>
    <row r="10" customFormat="false" ht="15" hidden="false" customHeight="false" outlineLevel="0" collapsed="false">
      <c r="A10" s="4" t="s">
        <v>74</v>
      </c>
      <c r="B10" s="6" t="n">
        <v>1</v>
      </c>
      <c r="C10" s="6" t="n">
        <v>1</v>
      </c>
      <c r="D10" s="6" t="n">
        <v>1</v>
      </c>
      <c r="E10" s="6" t="n">
        <v>1</v>
      </c>
      <c r="F10" s="6" t="n">
        <v>1</v>
      </c>
    </row>
    <row r="11" customFormat="false" ht="15" hidden="false" customHeight="false" outlineLevel="0" collapsed="false">
      <c r="A11" s="8" t="s">
        <v>75</v>
      </c>
      <c r="B11" s="10" t="n">
        <v>1</v>
      </c>
      <c r="C11" s="10" t="n">
        <v>1</v>
      </c>
      <c r="D11" s="10" t="n">
        <v>1</v>
      </c>
      <c r="E11" s="10" t="n">
        <v>1</v>
      </c>
      <c r="F11" s="10" t="n">
        <v>1</v>
      </c>
    </row>
    <row r="12" customFormat="false" ht="15" hidden="false" customHeight="false" outlineLevel="0" collapsed="false">
      <c r="A12" s="4" t="s">
        <v>76</v>
      </c>
      <c r="B12" s="6" t="n">
        <v>1</v>
      </c>
      <c r="C12" s="6" t="n">
        <v>1</v>
      </c>
      <c r="D12" s="6" t="n">
        <v>1</v>
      </c>
      <c r="E12" s="6" t="n">
        <v>1</v>
      </c>
      <c r="F12" s="6" t="n">
        <v>1</v>
      </c>
    </row>
    <row r="13" customFormat="false" ht="15" hidden="false" customHeight="false" outlineLevel="0" collapsed="false">
      <c r="A13" s="8" t="s">
        <v>77</v>
      </c>
      <c r="B13" s="10" t="n">
        <v>1</v>
      </c>
      <c r="C13" s="10" t="n">
        <v>1</v>
      </c>
      <c r="D13" s="10" t="n">
        <v>1</v>
      </c>
      <c r="E13" s="10" t="n">
        <v>1</v>
      </c>
      <c r="F13" s="10" t="n">
        <v>0</v>
      </c>
    </row>
    <row r="14" customFormat="false" ht="15" hidden="false" customHeight="false" outlineLevel="0" collapsed="false">
      <c r="A14" s="4" t="s">
        <v>78</v>
      </c>
      <c r="B14" s="6" t="n">
        <v>0</v>
      </c>
      <c r="C14" s="6" t="n">
        <v>1</v>
      </c>
      <c r="D14" s="6" t="n">
        <v>0</v>
      </c>
      <c r="E14" s="6" t="n">
        <v>1</v>
      </c>
      <c r="F14" s="6" t="n">
        <v>1</v>
      </c>
    </row>
    <row r="15" customFormat="false" ht="15" hidden="false" customHeight="false" outlineLevel="0" collapsed="false">
      <c r="A15" s="8" t="s">
        <v>79</v>
      </c>
      <c r="B15" s="10" t="n">
        <v>1</v>
      </c>
      <c r="C15" s="10" t="n">
        <v>1</v>
      </c>
      <c r="D15" s="10" t="n">
        <v>1</v>
      </c>
      <c r="E15" s="10" t="n">
        <v>1</v>
      </c>
      <c r="F15" s="10" t="n">
        <v>1</v>
      </c>
    </row>
    <row r="16" customFormat="false" ht="15" hidden="false" customHeight="false" outlineLevel="0" collapsed="false">
      <c r="A16" s="4" t="s">
        <v>80</v>
      </c>
      <c r="B16" s="6" t="n">
        <v>1</v>
      </c>
      <c r="C16" s="6" t="n">
        <v>1</v>
      </c>
      <c r="D16" s="6" t="n">
        <v>1</v>
      </c>
      <c r="E16" s="6" t="n">
        <v>1</v>
      </c>
      <c r="F16" s="6" t="n">
        <v>1</v>
      </c>
    </row>
    <row r="17" customFormat="false" ht="15" hidden="false" customHeight="false" outlineLevel="0" collapsed="false">
      <c r="A17" s="8" t="s">
        <v>81</v>
      </c>
      <c r="B17" s="10" t="n">
        <v>1</v>
      </c>
      <c r="C17" s="10" t="n">
        <v>1</v>
      </c>
      <c r="D17" s="10" t="n">
        <v>1</v>
      </c>
      <c r="E17" s="10" t="n">
        <v>1</v>
      </c>
      <c r="F17" s="10" t="n">
        <v>1</v>
      </c>
    </row>
    <row r="18" customFormat="false" ht="15" hidden="false" customHeight="false" outlineLevel="0" collapsed="false">
      <c r="A18" s="4" t="s">
        <v>44</v>
      </c>
      <c r="B18" s="6" t="n">
        <v>1</v>
      </c>
      <c r="C18" s="6" t="n">
        <v>1</v>
      </c>
      <c r="D18" s="6" t="n">
        <v>1</v>
      </c>
      <c r="E18" s="6" t="n">
        <v>1</v>
      </c>
      <c r="F18" s="6" t="n">
        <v>1</v>
      </c>
    </row>
    <row r="20" customFormat="false" ht="15" hidden="false" customHeight="false" outlineLevel="0" collapsed="false">
      <c r="A20" s="18" t="s">
        <v>45</v>
      </c>
      <c r="B20" s="19" t="n">
        <v>15</v>
      </c>
      <c r="C20" s="19" t="n">
        <v>15</v>
      </c>
      <c r="D20" s="19" t="n">
        <v>15</v>
      </c>
      <c r="E20" s="19" t="n">
        <v>15</v>
      </c>
      <c r="F20" s="19" t="n">
        <v>15</v>
      </c>
    </row>
    <row r="21" customFormat="false" ht="15" hidden="false" customHeight="false" outlineLevel="0" collapsed="false">
      <c r="A21" s="18" t="s">
        <v>46</v>
      </c>
      <c r="B21" s="19" t="n">
        <f aca="false">SUM(B4:B18)</f>
        <v>14</v>
      </c>
      <c r="C21" s="19" t="n">
        <f aca="false">SUM(C4:C18)</f>
        <v>15</v>
      </c>
      <c r="D21" s="19" t="n">
        <f aca="false">SUM(D4:D18)</f>
        <v>13</v>
      </c>
      <c r="E21" s="19" t="n">
        <f aca="false">SUM(E4:E18)</f>
        <v>14</v>
      </c>
      <c r="F21" s="19" t="n">
        <f aca="false">SUM(F4:F18)</f>
        <v>12</v>
      </c>
    </row>
    <row r="22" customFormat="false" ht="15" hidden="false" customHeight="false" outlineLevel="0" collapsed="false">
      <c r="A22" s="18" t="s">
        <v>47</v>
      </c>
      <c r="B22" s="19" t="n">
        <f aca="false">B20-B21</f>
        <v>1</v>
      </c>
      <c r="C22" s="19" t="n">
        <f aca="false">C20-C21</f>
        <v>0</v>
      </c>
      <c r="D22" s="19" t="n">
        <f aca="false">D20-D21</f>
        <v>2</v>
      </c>
      <c r="E22" s="19" t="n">
        <f aca="false">E20-E21</f>
        <v>1</v>
      </c>
      <c r="F22" s="19" t="n">
        <f aca="false">F20-F21</f>
        <v>3</v>
      </c>
    </row>
    <row r="23" customFormat="false" ht="15" hidden="false" customHeight="false" outlineLevel="0" collapsed="false">
      <c r="A23" s="18" t="s">
        <v>48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v>0</v>
      </c>
    </row>
    <row r="24" customFormat="false" ht="15" hidden="false" customHeight="false" outlineLevel="0" collapsed="false">
      <c r="A24" s="18" t="s">
        <v>49</v>
      </c>
      <c r="B24" s="20" t="n">
        <f aca="false">IFERROR(B21/(B21+B23),0)</f>
        <v>1</v>
      </c>
      <c r="C24" s="20" t="n">
        <f aca="false">IFERROR(C21/(C21+C23),0)</f>
        <v>1</v>
      </c>
      <c r="D24" s="20" t="n">
        <f aca="false">IFERROR(D21/(D21+D23),0)</f>
        <v>1</v>
      </c>
      <c r="E24" s="20" t="n">
        <f aca="false">IFERROR(E21/(E21+E23),0)</f>
        <v>1</v>
      </c>
      <c r="F24" s="20" t="n">
        <f aca="false">IFERROR(F21/(F21+F23),0)</f>
        <v>1</v>
      </c>
      <c r="G24" s="21" t="n">
        <f aca="false">AVERAGE(B24:F24)</f>
        <v>1</v>
      </c>
    </row>
    <row r="25" customFormat="false" ht="15" hidden="false" customHeight="false" outlineLevel="0" collapsed="false">
      <c r="A25" s="18" t="s">
        <v>50</v>
      </c>
      <c r="B25" s="20" t="n">
        <f aca="false">IFERROR(B21/(B21+B22),0)</f>
        <v>0.933333333333333</v>
      </c>
      <c r="C25" s="20" t="n">
        <f aca="false">IFERROR(C21/(C21+C22),0)</f>
        <v>1</v>
      </c>
      <c r="D25" s="20" t="n">
        <f aca="false">IFERROR(D21/(D21+D22),0)</f>
        <v>0.866666666666667</v>
      </c>
      <c r="E25" s="20" t="n">
        <f aca="false">IFERROR(E21/(E21+E22),0)</f>
        <v>0.933333333333333</v>
      </c>
      <c r="F25" s="20" t="n">
        <f aca="false">IFERROR(F21/(F21+F22),0)</f>
        <v>0.8</v>
      </c>
      <c r="G25" s="21" t="n">
        <f aca="false">AVERAGE(B25:F25)</f>
        <v>0.906666666666667</v>
      </c>
    </row>
    <row r="26" customFormat="false" ht="15" hidden="false" customHeight="false" outlineLevel="0" collapsed="false">
      <c r="A26" s="18" t="s">
        <v>51</v>
      </c>
      <c r="B26" s="20" t="n">
        <f aca="false">IFERROR(2*B24*B25/(B24+B25),0)</f>
        <v>0.96551724137931</v>
      </c>
      <c r="C26" s="20" t="n">
        <f aca="false">IFERROR(2*C24*C25/(C24+C25),0)</f>
        <v>1</v>
      </c>
      <c r="D26" s="20" t="n">
        <f aca="false">IFERROR(2*D24*D25/(D24+D25),0)</f>
        <v>0.928571428571429</v>
      </c>
      <c r="E26" s="20" t="n">
        <f aca="false">IFERROR(2*E24*E25/(E24+E25),0)</f>
        <v>0.96551724137931</v>
      </c>
      <c r="F26" s="20" t="n">
        <f aca="false">IFERROR(2*F24*F25/(F24+F25),0)</f>
        <v>0.888888888888889</v>
      </c>
      <c r="G26" s="21" t="n">
        <f aca="false">AVERAGE(B26:F26)</f>
        <v>0.949698960043788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7" min="2" style="0" width="11"/>
  </cols>
  <sheetData>
    <row r="1" customFormat="false" ht="16.15" hidden="false" customHeight="false" outlineLevel="0" collapsed="false">
      <c r="A1" s="17" t="s">
        <v>82</v>
      </c>
    </row>
    <row r="3" customFormat="false" ht="15" hidden="false" customHeight="false" outlineLevel="0" collapsed="false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</row>
    <row r="4" customFormat="false" ht="15" hidden="false" customHeight="false" outlineLevel="0" collapsed="false">
      <c r="A4" s="4" t="s">
        <v>83</v>
      </c>
      <c r="B4" s="6" t="n">
        <v>1</v>
      </c>
      <c r="C4" s="6" t="n">
        <v>1</v>
      </c>
      <c r="D4" s="6" t="n">
        <v>1</v>
      </c>
      <c r="E4" s="6" t="n">
        <v>1</v>
      </c>
      <c r="F4" s="6" t="n">
        <v>1</v>
      </c>
    </row>
    <row r="5" customFormat="false" ht="15" hidden="false" customHeight="false" outlineLevel="0" collapsed="false">
      <c r="A5" s="8" t="s">
        <v>84</v>
      </c>
      <c r="B5" s="10" t="n">
        <v>1</v>
      </c>
      <c r="C5" s="10" t="n">
        <v>1</v>
      </c>
      <c r="D5" s="10" t="n">
        <v>1</v>
      </c>
      <c r="E5" s="10" t="n">
        <v>0</v>
      </c>
      <c r="F5" s="10" t="n">
        <v>1</v>
      </c>
    </row>
    <row r="6" customFormat="false" ht="15" hidden="false" customHeight="false" outlineLevel="0" collapsed="false">
      <c r="A6" s="4" t="s">
        <v>85</v>
      </c>
      <c r="B6" s="6" t="n">
        <v>1</v>
      </c>
      <c r="C6" s="6" t="n">
        <v>1</v>
      </c>
      <c r="D6" s="6" t="n">
        <v>1</v>
      </c>
      <c r="E6" s="6" t="n">
        <v>0</v>
      </c>
      <c r="F6" s="6" t="n">
        <v>1</v>
      </c>
    </row>
    <row r="7" customFormat="false" ht="15" hidden="false" customHeight="false" outlineLevel="0" collapsed="false">
      <c r="A7" s="8" t="s">
        <v>86</v>
      </c>
      <c r="B7" s="10" t="n">
        <v>1</v>
      </c>
      <c r="C7" s="10" t="n">
        <v>0</v>
      </c>
      <c r="D7" s="10" t="n">
        <v>0</v>
      </c>
      <c r="E7" s="10" t="n">
        <v>0</v>
      </c>
      <c r="F7" s="10" t="n">
        <v>1</v>
      </c>
    </row>
    <row r="8" customFormat="false" ht="15" hidden="false" customHeight="false" outlineLevel="0" collapsed="false">
      <c r="A8" s="4" t="s">
        <v>87</v>
      </c>
      <c r="B8" s="6" t="n">
        <v>1</v>
      </c>
      <c r="C8" s="6" t="n">
        <v>1</v>
      </c>
      <c r="D8" s="6" t="n">
        <v>1</v>
      </c>
      <c r="E8" s="6" t="n">
        <v>1</v>
      </c>
      <c r="F8" s="6" t="n">
        <v>1</v>
      </c>
    </row>
    <row r="9" customFormat="false" ht="15" hidden="false" customHeight="false" outlineLevel="0" collapsed="false">
      <c r="A9" s="8" t="s">
        <v>88</v>
      </c>
      <c r="B9" s="10" t="n">
        <v>1</v>
      </c>
      <c r="C9" s="10" t="n">
        <v>1</v>
      </c>
      <c r="D9" s="10" t="n">
        <v>0</v>
      </c>
      <c r="E9" s="10" t="n">
        <v>1</v>
      </c>
      <c r="F9" s="10" t="n">
        <v>0</v>
      </c>
    </row>
    <row r="10" customFormat="false" ht="15" hidden="false" customHeight="false" outlineLevel="0" collapsed="false">
      <c r="A10" s="4" t="s">
        <v>89</v>
      </c>
      <c r="B10" s="6" t="n">
        <v>1</v>
      </c>
      <c r="C10" s="6" t="n">
        <v>0</v>
      </c>
      <c r="D10" s="6" t="n">
        <v>0</v>
      </c>
      <c r="E10" s="6" t="n">
        <v>1</v>
      </c>
      <c r="F10" s="6" t="n">
        <v>0</v>
      </c>
    </row>
    <row r="11" customFormat="false" ht="15" hidden="false" customHeight="false" outlineLevel="0" collapsed="false">
      <c r="A11" s="8" t="s">
        <v>90</v>
      </c>
      <c r="B11" s="10" t="n">
        <v>1</v>
      </c>
      <c r="C11" s="10" t="n">
        <v>0</v>
      </c>
      <c r="D11" s="10" t="n">
        <v>0</v>
      </c>
      <c r="E11" s="10" t="n">
        <v>1</v>
      </c>
      <c r="F11" s="10" t="n">
        <v>0</v>
      </c>
    </row>
    <row r="12" customFormat="false" ht="15" hidden="false" customHeight="false" outlineLevel="0" collapsed="false">
      <c r="A12" s="4" t="s">
        <v>91</v>
      </c>
      <c r="B12" s="6" t="n">
        <v>1</v>
      </c>
      <c r="C12" s="6" t="n">
        <v>1</v>
      </c>
      <c r="D12" s="6" t="n">
        <v>1</v>
      </c>
      <c r="E12" s="6" t="n">
        <v>0</v>
      </c>
      <c r="F12" s="6" t="n">
        <v>1</v>
      </c>
    </row>
    <row r="13" customFormat="false" ht="15" hidden="false" customHeight="false" outlineLevel="0" collapsed="false">
      <c r="A13" s="8" t="s">
        <v>92</v>
      </c>
      <c r="B13" s="10" t="n">
        <v>1</v>
      </c>
      <c r="C13" s="10" t="n">
        <v>1</v>
      </c>
      <c r="D13" s="10" t="n">
        <v>1</v>
      </c>
      <c r="E13" s="10" t="n">
        <v>1</v>
      </c>
      <c r="F13" s="10" t="n">
        <v>1</v>
      </c>
    </row>
    <row r="14" customFormat="false" ht="15" hidden="false" customHeight="false" outlineLevel="0" collapsed="false">
      <c r="A14" s="4" t="s">
        <v>93</v>
      </c>
      <c r="B14" s="6" t="n">
        <v>1</v>
      </c>
      <c r="C14" s="6" t="n">
        <v>1</v>
      </c>
      <c r="D14" s="6" t="n">
        <v>1</v>
      </c>
      <c r="E14" s="6" t="n">
        <v>1</v>
      </c>
      <c r="F14" s="6" t="n">
        <v>1</v>
      </c>
    </row>
    <row r="15" customFormat="false" ht="15" hidden="false" customHeight="false" outlineLevel="0" collapsed="false">
      <c r="A15" s="8" t="s">
        <v>94</v>
      </c>
      <c r="B15" s="10" t="n">
        <v>1</v>
      </c>
      <c r="C15" s="10" t="n">
        <v>1</v>
      </c>
      <c r="D15" s="10" t="n">
        <v>1</v>
      </c>
      <c r="E15" s="10" t="n">
        <v>1</v>
      </c>
      <c r="F15" s="10" t="n">
        <v>1</v>
      </c>
    </row>
    <row r="16" customFormat="false" ht="15" hidden="false" customHeight="false" outlineLevel="0" collapsed="false">
      <c r="A16" s="4" t="s">
        <v>95</v>
      </c>
      <c r="B16" s="6" t="n">
        <v>1</v>
      </c>
      <c r="C16" s="6" t="n">
        <v>1</v>
      </c>
      <c r="D16" s="6" t="n">
        <v>1</v>
      </c>
      <c r="E16" s="6" t="n">
        <v>1</v>
      </c>
      <c r="F16" s="6" t="n">
        <v>1</v>
      </c>
    </row>
    <row r="17" customFormat="false" ht="15" hidden="false" customHeight="false" outlineLevel="0" collapsed="false">
      <c r="A17" s="8" t="s">
        <v>96</v>
      </c>
      <c r="B17" s="10" t="n">
        <v>1</v>
      </c>
      <c r="C17" s="10" t="n">
        <v>1</v>
      </c>
      <c r="D17" s="10" t="n">
        <v>1</v>
      </c>
      <c r="E17" s="10" t="n">
        <v>1</v>
      </c>
      <c r="F17" s="10" t="n">
        <v>0</v>
      </c>
    </row>
    <row r="18" customFormat="false" ht="15" hidden="false" customHeight="false" outlineLevel="0" collapsed="false">
      <c r="A18" s="4" t="s">
        <v>97</v>
      </c>
      <c r="B18" s="6" t="n">
        <v>1</v>
      </c>
      <c r="C18" s="6" t="n">
        <v>1</v>
      </c>
      <c r="D18" s="6" t="n">
        <v>1</v>
      </c>
      <c r="E18" s="6" t="n">
        <v>1</v>
      </c>
      <c r="F18" s="6" t="n">
        <v>1</v>
      </c>
    </row>
    <row r="19" customFormat="false" ht="15" hidden="false" customHeight="false" outlineLevel="0" collapsed="false">
      <c r="A19" s="8" t="s">
        <v>98</v>
      </c>
      <c r="B19" s="10" t="n">
        <v>1</v>
      </c>
      <c r="C19" s="10" t="n">
        <v>1</v>
      </c>
      <c r="D19" s="10" t="n">
        <v>1</v>
      </c>
      <c r="E19" s="10" t="n">
        <v>1</v>
      </c>
      <c r="F19" s="10" t="n">
        <v>1</v>
      </c>
    </row>
    <row r="20" customFormat="false" ht="15" hidden="false" customHeight="false" outlineLevel="0" collapsed="false">
      <c r="A20" s="4" t="s">
        <v>44</v>
      </c>
      <c r="B20" s="6" t="n">
        <v>1</v>
      </c>
      <c r="C20" s="6" t="n">
        <v>1</v>
      </c>
      <c r="D20" s="6" t="n">
        <v>1</v>
      </c>
      <c r="E20" s="6" t="n">
        <v>1</v>
      </c>
      <c r="F20" s="6" t="n">
        <v>1</v>
      </c>
    </row>
    <row r="22" customFormat="false" ht="15" hidden="false" customHeight="false" outlineLevel="0" collapsed="false">
      <c r="A22" s="18" t="s">
        <v>45</v>
      </c>
      <c r="B22" s="19" t="n">
        <v>17</v>
      </c>
      <c r="C22" s="19" t="n">
        <v>17</v>
      </c>
      <c r="D22" s="19" t="n">
        <v>17</v>
      </c>
      <c r="E22" s="19" t="n">
        <v>17</v>
      </c>
      <c r="F22" s="19" t="n">
        <v>17</v>
      </c>
    </row>
    <row r="23" customFormat="false" ht="15" hidden="false" customHeight="false" outlineLevel="0" collapsed="false">
      <c r="A23" s="18" t="s">
        <v>46</v>
      </c>
      <c r="B23" s="19" t="n">
        <f aca="false">SUM(B4:B20)</f>
        <v>17</v>
      </c>
      <c r="C23" s="19" t="n">
        <f aca="false">SUM(C4:C20)</f>
        <v>14</v>
      </c>
      <c r="D23" s="19" t="n">
        <f aca="false">SUM(D4:D20)</f>
        <v>13</v>
      </c>
      <c r="E23" s="19" t="n">
        <f aca="false">SUM(E4:E20)</f>
        <v>13</v>
      </c>
      <c r="F23" s="19" t="n">
        <f aca="false">SUM(F4:F20)</f>
        <v>13</v>
      </c>
    </row>
    <row r="24" customFormat="false" ht="15" hidden="false" customHeight="false" outlineLevel="0" collapsed="false">
      <c r="A24" s="18" t="s">
        <v>47</v>
      </c>
      <c r="B24" s="19" t="n">
        <f aca="false">B22-B23</f>
        <v>0</v>
      </c>
      <c r="C24" s="19" t="n">
        <f aca="false">C22-C23</f>
        <v>3</v>
      </c>
      <c r="D24" s="19" t="n">
        <f aca="false">D22-D23</f>
        <v>4</v>
      </c>
      <c r="E24" s="19" t="n">
        <f aca="false">E22-E23</f>
        <v>4</v>
      </c>
      <c r="F24" s="19" t="n">
        <f aca="false">F22-F23</f>
        <v>4</v>
      </c>
    </row>
    <row r="25" customFormat="false" ht="15" hidden="false" customHeight="false" outlineLevel="0" collapsed="false">
      <c r="A25" s="18" t="s">
        <v>48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v>0</v>
      </c>
    </row>
    <row r="26" customFormat="false" ht="15" hidden="false" customHeight="false" outlineLevel="0" collapsed="false">
      <c r="A26" s="18" t="s">
        <v>49</v>
      </c>
      <c r="B26" s="20" t="n">
        <f aca="false">IFERROR(B23/(B23+B25),0)</f>
        <v>1</v>
      </c>
      <c r="C26" s="20" t="n">
        <f aca="false">IFERROR(C23/(C23+C25),0)</f>
        <v>1</v>
      </c>
      <c r="D26" s="20" t="n">
        <f aca="false">IFERROR(D23/(D23+D25),0)</f>
        <v>1</v>
      </c>
      <c r="E26" s="20" t="n">
        <f aca="false">IFERROR(E23/(E23+E25),0)</f>
        <v>1</v>
      </c>
      <c r="F26" s="20" t="n">
        <f aca="false">IFERROR(F23/(F23+F25),0)</f>
        <v>1</v>
      </c>
      <c r="G26" s="21" t="n">
        <f aca="false">AVERAGE(B26:F26)</f>
        <v>1</v>
      </c>
    </row>
    <row r="27" customFormat="false" ht="15" hidden="false" customHeight="false" outlineLevel="0" collapsed="false">
      <c r="A27" s="18" t="s">
        <v>50</v>
      </c>
      <c r="B27" s="20" t="n">
        <f aca="false">IFERROR(B23/(B23+B24),0)</f>
        <v>1</v>
      </c>
      <c r="C27" s="20" t="n">
        <f aca="false">IFERROR(C23/(C23+C24),0)</f>
        <v>0.823529411764706</v>
      </c>
      <c r="D27" s="20" t="n">
        <f aca="false">IFERROR(D23/(D23+D24),0)</f>
        <v>0.764705882352941</v>
      </c>
      <c r="E27" s="20" t="n">
        <f aca="false">IFERROR(E23/(E23+E24),0)</f>
        <v>0.764705882352941</v>
      </c>
      <c r="F27" s="20" t="n">
        <f aca="false">IFERROR(F23/(F23+F24),0)</f>
        <v>0.764705882352941</v>
      </c>
      <c r="G27" s="21" t="n">
        <f aca="false">AVERAGE(B27:F27)</f>
        <v>0.823529411764706</v>
      </c>
    </row>
    <row r="28" customFormat="false" ht="15" hidden="false" customHeight="false" outlineLevel="0" collapsed="false">
      <c r="A28" s="18" t="s">
        <v>51</v>
      </c>
      <c r="B28" s="20" t="n">
        <f aca="false">IFERROR(2*B26*B27/(B26+B27),0)</f>
        <v>1</v>
      </c>
      <c r="C28" s="20" t="n">
        <f aca="false">IFERROR(2*C26*C27/(C26+C27),0)</f>
        <v>0.903225806451613</v>
      </c>
      <c r="D28" s="20" t="n">
        <f aca="false">IFERROR(2*D26*D27/(D26+D27),0)</f>
        <v>0.866666666666667</v>
      </c>
      <c r="E28" s="20" t="n">
        <f aca="false">IFERROR(2*E26*E27/(E26+E27),0)</f>
        <v>0.866666666666667</v>
      </c>
      <c r="F28" s="20" t="n">
        <f aca="false">IFERROR(2*F26*F27/(F26+F27),0)</f>
        <v>0.866666666666667</v>
      </c>
      <c r="G28" s="21" t="n">
        <f aca="false">AVERAGE(B28:F28)</f>
        <v>0.900645161290323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2026-06-21T04:41:10Z</dcterms:created>
  <dc:creator>openpyxl</dc:creator>
  <dc:description/>
  <dc:language>en-US</dc:language>
  <cp:lastModifiedBy/>
  <dcterms:modified xsi:type="dcterms:W3CDTF">2026-06-21T04:41:10Z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