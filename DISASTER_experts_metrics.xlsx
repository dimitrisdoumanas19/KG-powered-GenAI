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1" sheetId="2" state="visible" r:id="rId4"/>
    <sheet name="S2" sheetId="3" state="visible" r:id="rId5"/>
    <sheet name="S3" sheetId="4" state="visible" r:id="rId6"/>
    <sheet name="S4" sheetId="5" state="visible" r:id="rId7"/>
    <sheet name="S5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<sst xmlns="http://schemas.openxmlformats.org/spreadsheetml/2006/main" count="325" uniqueCount="249">
  <si>
    <t xml:space="preserve">Human (expert) performance per scenario — Disaster Management (complete parallel answers)</t>
  </si>
  <si>
    <t xml:space="preserve">Per-expert mean (each expert scored vs full checklist) — same construct as emergency medicine &amp; border security.</t>
  </si>
  <si>
    <t xml:space="preserve">Scenario</t>
  </si>
  <si>
    <t xml:space="preserve">Precision</t>
  </si>
  <si>
    <t xml:space="preserve">Recall</t>
  </si>
  <si>
    <t xml:space="preserve">F1 score</t>
  </si>
  <si>
    <t xml:space="preserve">N items</t>
  </si>
  <si>
    <t xml:space="preserve">Mean items addressed</t>
  </si>
  <si>
    <t xml:space="preserve">Union recall (ref.)</t>
  </si>
  <si>
    <t xml:space="preserve">S1 - Active Shooter</t>
  </si>
  <si>
    <t xml:space="preserve">S2 - Tornado</t>
  </si>
  <si>
    <t xml:space="preserve">S3 - Wildfire</t>
  </si>
  <si>
    <t xml:space="preserve">S4 - Hurricane / Flood</t>
  </si>
  <si>
    <t xml:space="preserve">S5 - Pandemic Influenza</t>
  </si>
  <si>
    <t xml:space="preserve">OVERALL (mean of scenarios)</t>
  </si>
  <si>
    <t xml:space="preserve">Methodology / coding rules</t>
  </si>
  <si>
    <t xml:space="preserve">1. These are the REVISED human answers: each expert gives a complete answer to the whole scenario (parallel), not a slice.</t>
  </si>
  <si>
    <t xml:space="preserve">2. Each scenario's full lifecycle checklist (35-54 items) is the ground truth; per-item coding 1 = addressed, 0 = not.</t>
  </si>
  <si>
    <t xml:space="preserve">3. TP/FN/FP as before; no expert gave incorrect advice so FP = 0 and Precision = 1.000.</t>
  </si>
  <si>
    <t xml:space="preserve">4. Headline = per-expert mean (matches emergency-medicine and border-security tables).</t>
  </si>
  <si>
    <t xml:space="preserve">5. 'Union recall' (right column) is kept only for reference; it is the collective-panel value.</t>
  </si>
  <si>
    <t xml:space="preserve">6. NOTE on cross-domain comparison: recall here is lower largely because these checklists are far longer/finer-grained</t>
  </si>
  <si>
    <t xml:space="preserve">   (35-54 items) than emergency medicine (12-22) or border security (14-17). Raw recall is not normalised across domains.</t>
  </si>
  <si>
    <t xml:space="preserve">7. All cells editable; Union and metrics recompute automatically.</t>
  </si>
  <si>
    <t xml:space="preserve">S1 - Active Shooter  —  complete parallel answers (per-expert) + Union</t>
  </si>
  <si>
    <t xml:space="preserve">Ground-truth evaluation point</t>
  </si>
  <si>
    <t xml:space="preserve">E1 (4y)</t>
  </si>
  <si>
    <t xml:space="preserve">E2 (8y)</t>
  </si>
  <si>
    <t xml:space="preserve">E3 (12y)</t>
  </si>
  <si>
    <t xml:space="preserve">E4 (18y)</t>
  </si>
  <si>
    <t xml:space="preserve">E5 (25y)</t>
  </si>
  <si>
    <t xml:space="preserve">Union (any)</t>
  </si>
  <si>
    <t xml:space="preserve">Expert mean</t>
  </si>
  <si>
    <t xml:space="preserve">Recognize active-shooter event</t>
  </si>
  <si>
    <t xml:space="preserve">Immediate priority: protect self/family</t>
  </si>
  <si>
    <t xml:space="preserve">Situational awareness (exits, danger, cover)</t>
  </si>
  <si>
    <t xml:space="preserve">First option: Run if safe route</t>
  </si>
  <si>
    <t xml:space="preserve">Have escape route/plan</t>
  </si>
  <si>
    <t xml:space="preserve">Leave belongings behind</t>
  </si>
  <si>
    <t xml:space="preserve">Evacuate with family; don't delay if others refuse</t>
  </si>
  <si>
    <t xml:space="preserve">Help others escape if no added danger</t>
  </si>
  <si>
    <t xml:space="preserve">Warn/prevent others entering danger area</t>
  </si>
  <si>
    <t xml:space="preserve">Call 911 only when safe</t>
  </si>
  <si>
    <t xml:space="preserve">Police interaction while escaping (hands visible)</t>
  </si>
  <si>
    <t xml:space="preserve">Don't move wounded during active threat</t>
  </si>
  <si>
    <t xml:space="preserve">Second option: Hide if escape impossible</t>
  </si>
  <si>
    <t xml:space="preserve">Hiding place out of view / some protection</t>
  </si>
  <si>
    <t xml:space="preserve">Avoid being trapped (keep movement option)</t>
  </si>
  <si>
    <t xml:space="preserve">Lock the door</t>
  </si>
  <si>
    <t xml:space="preserve">Barricade with heavy furniture</t>
  </si>
  <si>
    <t xml:space="preserve">Noise discipline (silence phone, off radios/TV)</t>
  </si>
  <si>
    <t xml:space="preserve">Conceal behind large items (cabinets/desks)</t>
  </si>
  <si>
    <t xml:space="preserve">Remain quiet and calm</t>
  </si>
  <si>
    <t xml:space="preserve">Silent 911 (leave line open)</t>
  </si>
  <si>
    <t xml:space="preserve">Last resort: Fight if no run/hide</t>
  </si>
  <si>
    <t xml:space="preserve">Fighting principle: disrupt/incapacitate</t>
  </si>
  <si>
    <t xml:space="preserve">Family understands 'active shooter' &amp; R/H/F</t>
  </si>
  <si>
    <t xml:space="preserve">Memorize 1-2 emergency numbers</t>
  </si>
  <si>
    <t xml:space="preserve">Family communications plan</t>
  </si>
  <si>
    <t xml:space="preserve">Report suspicious behavior</t>
  </si>
  <si>
    <t xml:space="preserve">Suspicious examples (packages, surveillance...)</t>
  </si>
  <si>
    <t xml:space="preserve">Know two exits in public places</t>
  </si>
  <si>
    <t xml:space="preserve">LE interaction after (hands visible/empty)</t>
  </si>
  <si>
    <t xml:space="preserve">Follow LE instructions / indicated direction</t>
  </si>
  <si>
    <t xml:space="preserve">Police may pass wounded (stop threat first)</t>
  </si>
  <si>
    <t xml:space="preserve">First aid after threat (pressure/tourniquet)</t>
  </si>
  <si>
    <t xml:space="preserve">Unconscious wounded on side, keep warm</t>
  </si>
  <si>
    <t xml:space="preserve">Mental-health follow-up</t>
  </si>
  <si>
    <t xml:space="preserve">Items in checklist (N)</t>
  </si>
  <si>
    <t xml:space="preserve">True Positives</t>
  </si>
  <si>
    <t xml:space="preserve">False Negatives</t>
  </si>
  <si>
    <t xml:space="preserve">False Positives</t>
  </si>
  <si>
    <t xml:space="preserve">S2 - Tornado  —  complete parallel answers (per-expert) + Union</t>
  </si>
  <si>
    <t xml:space="preserve">Tornado Warning -&gt; immediate action</t>
  </si>
  <si>
    <t xml:space="preserve">Warning sources (TV/FEMA/RedCross/NOAA)</t>
  </si>
  <si>
    <t xml:space="preserve">NOAA Weather Radio needs special receiver</t>
  </si>
  <si>
    <t xml:space="preserve">Avoid all windows</t>
  </si>
  <si>
    <t xml:space="preserve">Best shelter: basement</t>
  </si>
  <si>
    <t xml:space="preserve">Basement protection (sturdy cover/mattress)</t>
  </si>
  <si>
    <t xml:space="preserve">Avoid heavy objects on floor above</t>
  </si>
  <si>
    <t xml:space="preserve">No basement: lowest floor</t>
  </si>
  <si>
    <t xml:space="preserve">Small interior room/bath/closet/stairwell/hall</t>
  </si>
  <si>
    <t xml:space="preserve">Body position: crouch low, cover head</t>
  </si>
  <si>
    <t xml:space="preserve">Bathtub = partial protection</t>
  </si>
  <si>
    <t xml:space="preserve">Padding (mattress/blankets)</t>
  </si>
  <si>
    <t xml:space="preserve">Vehicle: no fully safe options</t>
  </si>
  <si>
    <t xml:space="preserve">Drive at right angles away (if far/light traffic)</t>
  </si>
  <si>
    <t xml:space="preserve">Better: sturdy building/underground</t>
  </si>
  <si>
    <t xml:space="preserve">If trapped in vehicle (seatbelt, head down, cover)</t>
  </si>
  <si>
    <t xml:space="preserve">Low-ground option (leave car, lie down)</t>
  </si>
  <si>
    <t xml:space="preserve">Don't shelter under bridges/overpasses</t>
  </si>
  <si>
    <t xml:space="preserve">Safe room = hardened structure</t>
  </si>
  <si>
    <t xml:space="preserve">Consider installing a safe room</t>
  </si>
  <si>
    <t xml:space="preserve">Keep go-kit in safe room</t>
  </si>
  <si>
    <t xml:space="preserve">Water (1 gal/person/day)</t>
  </si>
  <si>
    <t xml:space="preserve">Medical supplies (first aid/meds/glasses)</t>
  </si>
  <si>
    <t xml:space="preserve">Power/light (flashlight/batteries/radio)</t>
  </si>
  <si>
    <t xml:space="preserve">Food (non-perishable; infant items)</t>
  </si>
  <si>
    <t xml:space="preserve">Cash + documents (waterproof)</t>
  </si>
  <si>
    <t xml:space="preserve">Wrench for utilities</t>
  </si>
  <si>
    <t xml:space="preserve">Comfort items (blankets/ear plugs/cards)</t>
  </si>
  <si>
    <t xml:space="preserve">Communication by text when lines down</t>
  </si>
  <si>
    <t xml:space="preserve">Short messages (R-U-OK / I-M-OK)</t>
  </si>
  <si>
    <t xml:space="preserve">Use social media if appropriate</t>
  </si>
  <si>
    <t xml:space="preserve">Two meeting points (near + far)</t>
  </si>
  <si>
    <t xml:space="preserve">Family emergency plan</t>
  </si>
  <si>
    <t xml:space="preserve">Special needs prep</t>
  </si>
  <si>
    <t xml:space="preserve">Evacuation lodging (friends/relatives)</t>
  </si>
  <si>
    <t xml:space="preserve">Transportation backup (if vehicle damaged)</t>
  </si>
  <si>
    <t xml:space="preserve">After-tornado updates (EAS/NOAA/local)</t>
  </si>
  <si>
    <t xml:space="preserve">If trapped (cover mouth, text, whistle)</t>
  </si>
  <si>
    <t xml:space="preserve">Stay clear of fallen power lines</t>
  </si>
  <si>
    <t xml:space="preserve">Don't enter damaged buildings</t>
  </si>
  <si>
    <t xml:space="preserve">Save phone calls for emergencies</t>
  </si>
  <si>
    <t xml:space="preserve">Cleanup safety (shoes/pants/gloves)</t>
  </si>
  <si>
    <t xml:space="preserve">S3 - Wildfire  —  complete parallel answers (per-expert) + Union</t>
  </si>
  <si>
    <t xml:space="preserve">Risk recognition (rural/wooded prone)</t>
  </si>
  <si>
    <t xml:space="preserve">Seasonal risk (warm/dry)</t>
  </si>
  <si>
    <t xml:space="preserve">Risk information (local OEM/media)</t>
  </si>
  <si>
    <t xml:space="preserve">Early alerting (FEMA/RedCross/alerts)</t>
  </si>
  <si>
    <t xml:space="preserve">Immediate priority: evacuation/life safety</t>
  </si>
  <si>
    <t xml:space="preserve">Evacuate on mandatory order</t>
  </si>
  <si>
    <t xml:space="preserve">Create &amp; practice evacuation plan</t>
  </si>
  <si>
    <t xml:space="preserve">Family practices the plan</t>
  </si>
  <si>
    <t xml:space="preserve">Two meeting places</t>
  </si>
  <si>
    <t xml:space="preserve">Know evacuation route</t>
  </si>
  <si>
    <t xml:space="preserve">Plan alternate (back-road) route</t>
  </si>
  <si>
    <t xml:space="preserve">Lodging outside impact zone</t>
  </si>
  <si>
    <t xml:space="preserve">Comfort items for vulnerable</t>
  </si>
  <si>
    <t xml:space="preserve">Mental-health continuity (inform provider)</t>
  </si>
  <si>
    <t xml:space="preserve">Defensible space buffer</t>
  </si>
  <si>
    <t xml:space="preserve">Remove debris (gutters/porches)</t>
  </si>
  <si>
    <t xml:space="preserve">Remove ignition sources (furniture)</t>
  </si>
  <si>
    <t xml:space="preserve">Ember protection (screen/seal vents)</t>
  </si>
  <si>
    <t xml:space="preserve">Mulch &gt;=5 ft from home</t>
  </si>
  <si>
    <t xml:space="preserve">Trim tree branches</t>
  </si>
  <si>
    <t xml:space="preserve">Seal pet doors/windows on evacuation</t>
  </si>
  <si>
    <t xml:space="preserve">Smoke detectors</t>
  </si>
  <si>
    <t xml:space="preserve">Manageable multipurpose extinguisher</t>
  </si>
  <si>
    <t xml:space="preserve">Prevent causing fire (extinguish tobacco)</t>
  </si>
  <si>
    <t xml:space="preserve">Campfire safety</t>
  </si>
  <si>
    <t xml:space="preserve">Prepare go-kit</t>
  </si>
  <si>
    <t xml:space="preserve">Water</t>
  </si>
  <si>
    <t xml:space="preserve">Medical items (first aid/meds/glasses)</t>
  </si>
  <si>
    <t xml:space="preserve">Lighting/power</t>
  </si>
  <si>
    <t xml:space="preserve">Food</t>
  </si>
  <si>
    <t xml:space="preserve">Infant needs</t>
  </si>
  <si>
    <t xml:space="preserve">Cash + wrench</t>
  </si>
  <si>
    <t xml:space="preserve">Hygiene/warmth (sanitizer/mylar)</t>
  </si>
  <si>
    <t xml:space="preserve">Documents (waterproof)</t>
  </si>
  <si>
    <t xml:space="preserve">Activity items</t>
  </si>
  <si>
    <t xml:space="preserve">Pet go-kit (food/meds/records/vet)</t>
  </si>
  <si>
    <t xml:space="preserve">Pet identification (microchip/ID)</t>
  </si>
  <si>
    <t xml:space="preserve">Communication after fire (text/social)</t>
  </si>
  <si>
    <t xml:space="preserve">Return only when authorities clear</t>
  </si>
  <si>
    <t xml:space="preserve">Water safety after fire</t>
  </si>
  <si>
    <t xml:space="preserve">Heat hazards (ash/embers/charred trees)</t>
  </si>
  <si>
    <t xml:space="preserve">Ground hazards (hidden heat pockets)</t>
  </si>
  <si>
    <t xml:space="preserve">Respiratory protection (NIOSH, wet debris)</t>
  </si>
  <si>
    <t xml:space="preserve">Damage documentation/insurance</t>
  </si>
  <si>
    <t xml:space="preserve">Post-wildfire flood/mudflow risk</t>
  </si>
  <si>
    <t xml:space="preserve">Consider flood insurance</t>
  </si>
  <si>
    <t xml:space="preserve">S4 - Hurricane / Flood  —  complete parallel answers (per-expert) + Union</t>
  </si>
  <si>
    <t xml:space="preserve">Flood-risk awareness (in flood zone?)</t>
  </si>
  <si>
    <t xml:space="preserve">Flood-risk source (FEMA flood maps)</t>
  </si>
  <si>
    <t xml:space="preserve">Coastal risk (storm surge)</t>
  </si>
  <si>
    <t xml:space="preserve">Storm surge definition</t>
  </si>
  <si>
    <t xml:space="preserve">River flood risk (rain/snowmelt)</t>
  </si>
  <si>
    <t xml:space="preserve">Hurricane Watch = conditions possible</t>
  </si>
  <si>
    <t xml:space="preserve">Watch timing (~48h)</t>
  </si>
  <si>
    <t xml:space="preserve">Hurricane Warning = expected</t>
  </si>
  <si>
    <t xml:space="preserve">Warning timing (~36h)</t>
  </si>
  <si>
    <t xml:space="preserve">Preparation urgency (act before winds)</t>
  </si>
  <si>
    <t xml:space="preserve">Flood reduction (sandbags)</t>
  </si>
  <si>
    <t xml:space="preserve">Home mitigation (elevate mechanicals)</t>
  </si>
  <si>
    <t xml:space="preserve">Floodproofing/retrofitting</t>
  </si>
  <si>
    <t xml:space="preserve">Family meeting point</t>
  </si>
  <si>
    <t xml:space="preserve">Go-kit</t>
  </si>
  <si>
    <t xml:space="preserve">First aid</t>
  </si>
  <si>
    <t xml:space="preserve">Light/power</t>
  </si>
  <si>
    <t xml:space="preserve">Cash</t>
  </si>
  <si>
    <t xml:space="preserve">Utility wrench</t>
  </si>
  <si>
    <t xml:space="preserve">Hygiene/warmth</t>
  </si>
  <si>
    <t xml:space="preserve">Important documents</t>
  </si>
  <si>
    <t xml:space="preserve">Document protection (waterproof)</t>
  </si>
  <si>
    <t xml:space="preserve">Digital/off-site backup</t>
  </si>
  <si>
    <t xml:space="preserve">Comfort items</t>
  </si>
  <si>
    <t xml:space="preserve">Mental-health continuity</t>
  </si>
  <si>
    <t xml:space="preserve">Pet go-kit</t>
  </si>
  <si>
    <t xml:space="preserve">Pet records (vet)</t>
  </si>
  <si>
    <t xml:space="preserve">Pet identification</t>
  </si>
  <si>
    <t xml:space="preserve">Pet-friendly shelters</t>
  </si>
  <si>
    <t xml:space="preserve">Coastal routes (blue signs)</t>
  </si>
  <si>
    <t xml:space="preserve">Drive route in advance</t>
  </si>
  <si>
    <t xml:space="preserve">Evacuation lodging outside impact</t>
  </si>
  <si>
    <t xml:space="preserve">Communication by text</t>
  </si>
  <si>
    <t xml:space="preserve">Social media</t>
  </si>
  <si>
    <t xml:space="preserve">Discuss flood insurance</t>
  </si>
  <si>
    <t xml:space="preserve">Floods outside high-risk zones (20%)</t>
  </si>
  <si>
    <t xml:space="preserve">Cost of flooding (1 inch)</t>
  </si>
  <si>
    <t xml:space="preserve">Federal assistance may be limited</t>
  </si>
  <si>
    <t xml:space="preserve">More mitigation (wet/dry floodproofing)</t>
  </si>
  <si>
    <t xml:space="preserve">Atlantic season (Jun1-Nov30)</t>
  </si>
  <si>
    <t xml:space="preserve">Pacific season (May15-Nov30)</t>
  </si>
  <si>
    <t xml:space="preserve">Peak activity (September)</t>
  </si>
  <si>
    <t xml:space="preserve">Inland impact (&gt;100 mi)</t>
  </si>
  <si>
    <t xml:space="preserve">Storm surge = main killer</t>
  </si>
  <si>
    <t xml:space="preserve">After-storm danger (floodwaters/debris)</t>
  </si>
  <si>
    <t xml:space="preserve">Cleanup safety (clothing, not alone)</t>
  </si>
  <si>
    <t xml:space="preserve">Electrical safety (downed lines/wet equip)</t>
  </si>
  <si>
    <t xml:space="preserve">Breaker safety (turn off main)</t>
  </si>
  <si>
    <t xml:space="preserve">Floodwater safety (don't wade)</t>
  </si>
  <si>
    <t xml:space="preserve">S5 - Pandemic Influenza  —  complete parallel answers (per-expert) + Union</t>
  </si>
  <si>
    <t xml:space="preserve">Reliable info (CDC)</t>
  </si>
  <si>
    <t xml:space="preserve">Local info (health dept/provider)</t>
  </si>
  <si>
    <t xml:space="preserve">Avoid misinformation</t>
  </si>
  <si>
    <t xml:space="preserve">Vaccine discussion</t>
  </si>
  <si>
    <t xml:space="preserve">Vaccination = personal choice</t>
  </si>
  <si>
    <t xml:space="preserve">Obtain health records</t>
  </si>
  <si>
    <t xml:space="preserve">Electronic records</t>
  </si>
  <si>
    <t xml:space="preserve">Blue Button</t>
  </si>
  <si>
    <t xml:space="preserve">Family illness plan</t>
  </si>
  <si>
    <t xml:space="preserve">Stay home when sick</t>
  </si>
  <si>
    <t xml:space="preserve">Distance from others</t>
  </si>
  <si>
    <t xml:space="preserve">Cough/sneeze hygiene</t>
  </si>
  <si>
    <t xml:space="preserve">Supportive care (rest/fluids)</t>
  </si>
  <si>
    <t xml:space="preserve">Seek care if worsens</t>
  </si>
  <si>
    <t xml:space="preserve">Avoid close contact with sick</t>
  </si>
  <si>
    <t xml:space="preserve">Avoid touching face</t>
  </si>
  <si>
    <t xml:space="preserve">Healthy habits (sleep/nutrition)</t>
  </si>
  <si>
    <t xml:space="preserve">If family sick: avoid direct contact</t>
  </si>
  <si>
    <t xml:space="preserve">Stay home 24h after fever</t>
  </si>
  <si>
    <t xml:space="preserve">Clean/disinfect surfaces</t>
  </si>
  <si>
    <t xml:space="preserve">School/childcare outbreak plans</t>
  </si>
  <si>
    <t xml:space="preserve">On-site vaccines</t>
  </si>
  <si>
    <t xml:space="preserve">Emergency kit</t>
  </si>
  <si>
    <t xml:space="preserve">Medical items</t>
  </si>
  <si>
    <t xml:space="preserve">Comfort/activity items</t>
  </si>
  <si>
    <t xml:space="preserve">Pet kit</t>
  </si>
  <si>
    <t xml:space="preserve">Shelter preparation</t>
  </si>
  <si>
    <t xml:space="preserve">Comfort items for loved ones</t>
  </si>
  <si>
    <t xml:space="preserve">Ongoing care (inform provider)</t>
  </si>
  <si>
    <t xml:space="preserve">Pandemic definition (global)</t>
  </si>
  <si>
    <t xml:space="preserve">Epidemic definition (local)</t>
  </si>
  <si>
    <t xml:space="preserve">Pandemic severity (healthcare strain)</t>
  </si>
  <si>
    <t xml:space="preserve">Vaccine availability limits</t>
  </si>
  <si>
    <t xml:space="preserve">Healthcare surge</t>
  </si>
  <si>
    <t xml:space="preserve">Community effects (travel/quarantine/economy)</t>
  </si>
  <si>
    <t xml:space="preserve">Prevention more important in pandemic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</si>
</sst>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1F4E7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BE5D6"/>
      </patternFill>
    </fill>
    <fill>
      <patternFill patternType="solid">
        <fgColor rgb="FFF2F2F2"/>
        <bgColor rgb="FFFFFFFF"/>
      </patternFill>
    </fill>
    <fill>
      <patternFill patternType="solid">
        <fgColor rgb="FFD6E4F0"/>
        <bgColor rgb="FFF2F2F2"/>
      </patternFill>
    </fill>
    <fill>
      <patternFill patternType="solid">
        <fgColor rgb="FFFBE5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f aca="false">S1!H44</f>
        <v>1</v>
      </c>
      <c r="C5" s="5" t="n">
        <f aca="false">S1!H45</f>
        <v>0.462857142857143</v>
      </c>
      <c r="D5" s="5" t="n">
        <f aca="false">S1!H46</f>
        <v>0.629313725490196</v>
      </c>
      <c r="E5" s="6" t="n">
        <v>35</v>
      </c>
      <c r="F5" s="7" t="n">
        <f aca="false">C5*E5</f>
        <v>16.2</v>
      </c>
      <c r="G5" s="8" t="n">
        <f aca="false">S1!G45</f>
        <v>0.942857142857143</v>
      </c>
    </row>
    <row r="6" customFormat="false" ht="15" hidden="false" customHeight="false" outlineLevel="0" collapsed="false">
      <c r="A6" s="9" t="s">
        <v>10</v>
      </c>
      <c r="B6" s="10" t="n">
        <f aca="false">S2!H51</f>
        <v>1</v>
      </c>
      <c r="C6" s="10" t="n">
        <f aca="false">S2!H52</f>
        <v>0.380952380952381</v>
      </c>
      <c r="D6" s="10" t="n">
        <f aca="false">S2!H53</f>
        <v>0.544512056044314</v>
      </c>
      <c r="E6" s="11" t="n">
        <v>42</v>
      </c>
      <c r="F6" s="12" t="n">
        <f aca="false">C6*E6</f>
        <v>16</v>
      </c>
      <c r="G6" s="8" t="n">
        <f aca="false">S2!G52</f>
        <v>0.80952380952381</v>
      </c>
    </row>
    <row r="7" customFormat="false" ht="15" hidden="false" customHeight="false" outlineLevel="0" collapsed="false">
      <c r="A7" s="4" t="s">
        <v>11</v>
      </c>
      <c r="B7" s="5" t="n">
        <f aca="false">S3!H56</f>
        <v>1</v>
      </c>
      <c r="C7" s="5" t="n">
        <f aca="false">S3!H57</f>
        <v>0.353191489361702</v>
      </c>
      <c r="D7" s="5" t="n">
        <f aca="false">S3!H58</f>
        <v>0.520424714174714</v>
      </c>
      <c r="E7" s="6" t="n">
        <v>47</v>
      </c>
      <c r="F7" s="7" t="n">
        <f aca="false">C7*E7</f>
        <v>16.6</v>
      </c>
      <c r="G7" s="8" t="n">
        <f aca="false">S3!G57</f>
        <v>0.914893617021277</v>
      </c>
    </row>
    <row r="8" customFormat="false" ht="15" hidden="false" customHeight="false" outlineLevel="0" collapsed="false">
      <c r="A8" s="9" t="s">
        <v>12</v>
      </c>
      <c r="B8" s="10" t="n">
        <f aca="false">S4!H63</f>
        <v>1</v>
      </c>
      <c r="C8" s="10" t="n">
        <f aca="false">S4!H64</f>
        <v>0.27037037037037</v>
      </c>
      <c r="D8" s="10" t="n">
        <f aca="false">S4!H65</f>
        <v>0.421152452025586</v>
      </c>
      <c r="E8" s="11" t="n">
        <v>54</v>
      </c>
      <c r="F8" s="12" t="n">
        <f aca="false">C8*E8</f>
        <v>14.6</v>
      </c>
      <c r="G8" s="8" t="n">
        <f aca="false">S4!G64</f>
        <v>0.888888888888889</v>
      </c>
    </row>
    <row r="9" customFormat="false" ht="15" hidden="false" customHeight="false" outlineLevel="0" collapsed="false">
      <c r="A9" s="4" t="s">
        <v>13</v>
      </c>
      <c r="B9" s="5" t="n">
        <f aca="false">S5!H52</f>
        <v>1</v>
      </c>
      <c r="C9" s="5" t="n">
        <f aca="false">S5!H53</f>
        <v>0.348837209302326</v>
      </c>
      <c r="D9" s="5" t="n">
        <f aca="false">S5!H54</f>
        <v>0.497778760627058</v>
      </c>
      <c r="E9" s="6" t="n">
        <v>43</v>
      </c>
      <c r="F9" s="7" t="n">
        <f aca="false">C9*E9</f>
        <v>15</v>
      </c>
      <c r="G9" s="8" t="n">
        <f aca="false">S5!G53</f>
        <v>1</v>
      </c>
    </row>
    <row r="10" customFormat="false" ht="15" hidden="false" customHeight="false" outlineLevel="0" collapsed="false">
      <c r="A10" s="13" t="s">
        <v>14</v>
      </c>
      <c r="B10" s="14" t="n">
        <f aca="false">AVERAGE(B5:B9)</f>
        <v>1</v>
      </c>
      <c r="C10" s="14" t="n">
        <f aca="false">AVERAGE(C5:C9)</f>
        <v>0.363241718568784</v>
      </c>
      <c r="D10" s="14" t="n">
        <f aca="false">AVERAGE(D5:D9)</f>
        <v>0.522636341672374</v>
      </c>
      <c r="E10" s="15"/>
      <c r="F10" s="15"/>
      <c r="G10" s="14" t="n">
        <f aca="false">AVERAGE(G5:G9)</f>
        <v>0.911232691658224</v>
      </c>
    </row>
    <row r="13" customFormat="false" ht="15" hidden="false" customHeight="false" outlineLevel="0" collapsed="false">
      <c r="A13" s="16" t="s">
        <v>15</v>
      </c>
    </row>
    <row r="14" customFormat="false" ht="15" hidden="false" customHeight="false" outlineLevel="0" collapsed="false">
      <c r="A14" s="17" t="s">
        <v>16</v>
      </c>
    </row>
    <row r="15" customFormat="false" ht="15" hidden="false" customHeight="false" outlineLevel="0" collapsed="false">
      <c r="A15" s="17" t="s">
        <v>17</v>
      </c>
    </row>
    <row r="16" customFormat="false" ht="15" hidden="false" customHeight="false" outlineLevel="0" collapsed="false">
      <c r="A16" s="17" t="s">
        <v>18</v>
      </c>
    </row>
    <row r="17" customFormat="false" ht="15" hidden="false" customHeight="false" outlineLevel="0" collapsed="false">
      <c r="A17" s="17" t="s">
        <v>19</v>
      </c>
    </row>
    <row r="18" customFormat="false" ht="15" hidden="false" customHeight="false" outlineLevel="0" collapsed="false">
      <c r="A18" s="17" t="s">
        <v>20</v>
      </c>
    </row>
    <row r="19" customFormat="false" ht="15" hidden="false" customHeight="false" outlineLevel="0" collapsed="false">
      <c r="A19" s="17" t="s">
        <v>21</v>
      </c>
    </row>
    <row r="20" customFormat="false" ht="15" hidden="false" customHeight="false" outlineLevel="0" collapsed="false">
      <c r="A20" s="17" t="s">
        <v>22</v>
      </c>
    </row>
    <row r="21" customFormat="false" ht="15" hidden="false" customHeight="false" outlineLevel="0" collapsed="false">
      <c r="A21" s="17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1"/>
  </cols>
  <sheetData>
    <row r="1" customFormat="false" ht="16.15" hidden="false" customHeight="false" outlineLevel="0" collapsed="false">
      <c r="A1" s="18" t="s">
        <v>24</v>
      </c>
    </row>
    <row r="3" customFormat="false" ht="15" hidden="false" customHeight="fals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</row>
    <row r="4" customFormat="false" ht="15" hidden="false" customHeight="false" outlineLevel="0" collapsed="false">
      <c r="A4" s="4" t="s">
        <v>33</v>
      </c>
      <c r="B4" s="6" t="n">
        <v>1</v>
      </c>
      <c r="C4" s="6" t="n">
        <v>0</v>
      </c>
      <c r="D4" s="6" t="n">
        <v>0</v>
      </c>
      <c r="E4" s="6" t="n">
        <v>0</v>
      </c>
      <c r="F4" s="6" t="n">
        <v>0</v>
      </c>
      <c r="G4" s="19" t="n">
        <v>1</v>
      </c>
    </row>
    <row r="5" customFormat="false" ht="15" hidden="false" customHeight="false" outlineLevel="0" collapsed="false">
      <c r="A5" s="9" t="s">
        <v>34</v>
      </c>
      <c r="B5" s="11" t="n">
        <v>1</v>
      </c>
      <c r="C5" s="11" t="n">
        <v>0</v>
      </c>
      <c r="D5" s="11" t="n">
        <v>0</v>
      </c>
      <c r="E5" s="11" t="n">
        <v>1</v>
      </c>
      <c r="F5" s="11" t="n">
        <v>0</v>
      </c>
      <c r="G5" s="19" t="n">
        <v>1</v>
      </c>
    </row>
    <row r="6" customFormat="false" ht="15" hidden="false" customHeight="false" outlineLevel="0" collapsed="false">
      <c r="A6" s="4" t="s">
        <v>35</v>
      </c>
      <c r="B6" s="6" t="n">
        <v>1</v>
      </c>
      <c r="C6" s="6" t="n">
        <v>0</v>
      </c>
      <c r="D6" s="6" t="n">
        <v>1</v>
      </c>
      <c r="E6" s="6" t="n">
        <v>0</v>
      </c>
      <c r="F6" s="6" t="n">
        <v>0</v>
      </c>
      <c r="G6" s="19" t="n">
        <v>1</v>
      </c>
    </row>
    <row r="7" customFormat="false" ht="15" hidden="false" customHeight="false" outlineLevel="0" collapsed="false">
      <c r="A7" s="9" t="s">
        <v>36</v>
      </c>
      <c r="B7" s="11" t="n">
        <v>1</v>
      </c>
      <c r="C7" s="11" t="n">
        <v>1</v>
      </c>
      <c r="D7" s="11" t="n">
        <v>1</v>
      </c>
      <c r="E7" s="11" t="n">
        <v>1</v>
      </c>
      <c r="F7" s="11" t="n">
        <v>1</v>
      </c>
      <c r="G7" s="19" t="n">
        <v>1</v>
      </c>
    </row>
    <row r="8" customFormat="false" ht="15" hidden="false" customHeight="false" outlineLevel="0" collapsed="false">
      <c r="A8" s="4" t="s">
        <v>37</v>
      </c>
      <c r="B8" s="6" t="n">
        <v>1</v>
      </c>
      <c r="C8" s="6" t="n">
        <v>0</v>
      </c>
      <c r="D8" s="6" t="n">
        <v>0</v>
      </c>
      <c r="E8" s="6" t="n">
        <v>0</v>
      </c>
      <c r="F8" s="6" t="n">
        <v>0</v>
      </c>
      <c r="G8" s="19" t="n">
        <v>1</v>
      </c>
    </row>
    <row r="9" customFormat="false" ht="15" hidden="false" customHeight="false" outlineLevel="0" collapsed="false">
      <c r="A9" s="9" t="s">
        <v>38</v>
      </c>
      <c r="B9" s="11" t="n">
        <v>1</v>
      </c>
      <c r="C9" s="11" t="n">
        <v>1</v>
      </c>
      <c r="D9" s="11" t="n">
        <v>1</v>
      </c>
      <c r="E9" s="11" t="n">
        <v>0</v>
      </c>
      <c r="F9" s="11" t="n">
        <v>0</v>
      </c>
      <c r="G9" s="19" t="n">
        <v>1</v>
      </c>
    </row>
    <row r="10" customFormat="false" ht="15" hidden="false" customHeight="false" outlineLevel="0" collapsed="false">
      <c r="A10" s="4" t="s">
        <v>39</v>
      </c>
      <c r="B10" s="6" t="n">
        <v>0</v>
      </c>
      <c r="C10" s="6" t="n">
        <v>0</v>
      </c>
      <c r="D10" s="6" t="n">
        <v>0</v>
      </c>
      <c r="E10" s="6" t="n">
        <v>1</v>
      </c>
      <c r="F10" s="6" t="n">
        <v>0</v>
      </c>
      <c r="G10" s="19" t="n">
        <v>1</v>
      </c>
    </row>
    <row r="11" customFormat="false" ht="15" hidden="false" customHeight="false" outlineLevel="0" collapsed="false">
      <c r="A11" s="9" t="s">
        <v>40</v>
      </c>
      <c r="B11" s="11" t="n">
        <v>1</v>
      </c>
      <c r="C11" s="11" t="n">
        <v>0</v>
      </c>
      <c r="D11" s="11" t="n">
        <v>0</v>
      </c>
      <c r="E11" s="11" t="n">
        <v>1</v>
      </c>
      <c r="F11" s="11" t="n">
        <v>0</v>
      </c>
      <c r="G11" s="19" t="n">
        <v>1</v>
      </c>
    </row>
    <row r="12" customFormat="false" ht="15" hidden="false" customHeight="false" outlineLevel="0" collapsed="false">
      <c r="A12" s="4" t="s">
        <v>41</v>
      </c>
      <c r="B12" s="6" t="n">
        <v>1</v>
      </c>
      <c r="C12" s="6" t="n">
        <v>0</v>
      </c>
      <c r="D12" s="6" t="n">
        <v>0</v>
      </c>
      <c r="E12" s="6" t="n">
        <v>0</v>
      </c>
      <c r="F12" s="6" t="n">
        <v>0</v>
      </c>
      <c r="G12" s="19" t="n">
        <v>1</v>
      </c>
    </row>
    <row r="13" customFormat="false" ht="15" hidden="false" customHeight="false" outlineLevel="0" collapsed="false">
      <c r="A13" s="9" t="s">
        <v>42</v>
      </c>
      <c r="B13" s="11" t="n">
        <v>1</v>
      </c>
      <c r="C13" s="11" t="n">
        <v>1</v>
      </c>
      <c r="D13" s="11" t="n">
        <v>0</v>
      </c>
      <c r="E13" s="11" t="n">
        <v>0</v>
      </c>
      <c r="F13" s="11" t="n">
        <v>1</v>
      </c>
      <c r="G13" s="19" t="n">
        <v>1</v>
      </c>
    </row>
    <row r="14" customFormat="false" ht="15" hidden="false" customHeight="false" outlineLevel="0" collapsed="false">
      <c r="A14" s="4" t="s">
        <v>43</v>
      </c>
      <c r="B14" s="6" t="n">
        <v>1</v>
      </c>
      <c r="C14" s="6" t="n">
        <v>0</v>
      </c>
      <c r="D14" s="6" t="n">
        <v>0</v>
      </c>
      <c r="E14" s="6" t="n">
        <v>0</v>
      </c>
      <c r="F14" s="6" t="n">
        <v>0</v>
      </c>
      <c r="G14" s="19" t="n">
        <v>1</v>
      </c>
    </row>
    <row r="15" customFormat="false" ht="15" hidden="false" customHeight="false" outlineLevel="0" collapsed="false">
      <c r="A15" s="9" t="s">
        <v>44</v>
      </c>
      <c r="B15" s="11" t="n">
        <v>1</v>
      </c>
      <c r="C15" s="11" t="n">
        <v>0</v>
      </c>
      <c r="D15" s="11" t="n">
        <v>1</v>
      </c>
      <c r="E15" s="11" t="n">
        <v>0</v>
      </c>
      <c r="F15" s="11" t="n">
        <v>1</v>
      </c>
      <c r="G15" s="19" t="n">
        <v>1</v>
      </c>
    </row>
    <row r="16" customFormat="false" ht="15" hidden="false" customHeight="false" outlineLevel="0" collapsed="false">
      <c r="A16" s="4" t="s">
        <v>45</v>
      </c>
      <c r="B16" s="6" t="n">
        <v>1</v>
      </c>
      <c r="C16" s="6" t="n">
        <v>1</v>
      </c>
      <c r="D16" s="6" t="n">
        <v>1</v>
      </c>
      <c r="E16" s="6" t="n">
        <v>1</v>
      </c>
      <c r="F16" s="6" t="n">
        <v>1</v>
      </c>
      <c r="G16" s="19" t="n">
        <v>1</v>
      </c>
    </row>
    <row r="17" customFormat="false" ht="15" hidden="false" customHeight="false" outlineLevel="0" collapsed="false">
      <c r="A17" s="9" t="s">
        <v>46</v>
      </c>
      <c r="B17" s="11" t="n">
        <v>1</v>
      </c>
      <c r="C17" s="11" t="n">
        <v>1</v>
      </c>
      <c r="D17" s="11" t="n">
        <v>1</v>
      </c>
      <c r="E17" s="11" t="n">
        <v>1</v>
      </c>
      <c r="F17" s="11" t="n">
        <v>0</v>
      </c>
      <c r="G17" s="19" t="n">
        <v>1</v>
      </c>
    </row>
    <row r="18" customFormat="false" ht="15" hidden="false" customHeight="false" outlineLevel="0" collapsed="false">
      <c r="A18" s="4" t="s">
        <v>47</v>
      </c>
      <c r="B18" s="6" t="n">
        <v>0</v>
      </c>
      <c r="C18" s="6" t="n">
        <v>0</v>
      </c>
      <c r="D18" s="6" t="n">
        <v>0</v>
      </c>
      <c r="E18" s="6" t="n">
        <v>1</v>
      </c>
      <c r="F18" s="6" t="n">
        <v>0</v>
      </c>
      <c r="G18" s="19" t="n">
        <v>1</v>
      </c>
    </row>
    <row r="19" customFormat="false" ht="15" hidden="false" customHeight="false" outlineLevel="0" collapsed="false">
      <c r="A19" s="9" t="s">
        <v>48</v>
      </c>
      <c r="B19" s="11" t="n">
        <v>1</v>
      </c>
      <c r="C19" s="11" t="n">
        <v>1</v>
      </c>
      <c r="D19" s="11" t="n">
        <v>0</v>
      </c>
      <c r="E19" s="11" t="n">
        <v>1</v>
      </c>
      <c r="F19" s="11" t="n">
        <v>0</v>
      </c>
      <c r="G19" s="19" t="n">
        <v>1</v>
      </c>
    </row>
    <row r="20" customFormat="false" ht="15" hidden="false" customHeight="false" outlineLevel="0" collapsed="false">
      <c r="A20" s="4" t="s">
        <v>49</v>
      </c>
      <c r="B20" s="6" t="n">
        <v>1</v>
      </c>
      <c r="C20" s="6" t="n">
        <v>1</v>
      </c>
      <c r="D20" s="6" t="n">
        <v>1</v>
      </c>
      <c r="E20" s="6" t="n">
        <v>1</v>
      </c>
      <c r="F20" s="6" t="n">
        <v>0</v>
      </c>
      <c r="G20" s="19" t="n">
        <v>1</v>
      </c>
    </row>
    <row r="21" customFormat="false" ht="15" hidden="false" customHeight="false" outlineLevel="0" collapsed="false">
      <c r="A21" s="9" t="s">
        <v>50</v>
      </c>
      <c r="B21" s="11" t="n">
        <v>1</v>
      </c>
      <c r="C21" s="11" t="n">
        <v>1</v>
      </c>
      <c r="D21" s="11" t="n">
        <v>1</v>
      </c>
      <c r="E21" s="11" t="n">
        <v>1</v>
      </c>
      <c r="F21" s="11" t="n">
        <v>0</v>
      </c>
      <c r="G21" s="19" t="n">
        <v>1</v>
      </c>
    </row>
    <row r="22" customFormat="false" ht="15" hidden="false" customHeight="false" outlineLevel="0" collapsed="false">
      <c r="A22" s="4" t="s">
        <v>51</v>
      </c>
      <c r="B22" s="6" t="n">
        <v>0</v>
      </c>
      <c r="C22" s="6" t="n">
        <v>0</v>
      </c>
      <c r="D22" s="6" t="n">
        <v>0</v>
      </c>
      <c r="E22" s="6" t="n">
        <v>1</v>
      </c>
      <c r="F22" s="6" t="n">
        <v>0</v>
      </c>
      <c r="G22" s="19" t="n">
        <v>1</v>
      </c>
    </row>
    <row r="23" customFormat="false" ht="15" hidden="false" customHeight="false" outlineLevel="0" collapsed="false">
      <c r="A23" s="9" t="s">
        <v>52</v>
      </c>
      <c r="B23" s="11" t="n">
        <v>1</v>
      </c>
      <c r="C23" s="11" t="n">
        <v>1</v>
      </c>
      <c r="D23" s="11" t="n">
        <v>1</v>
      </c>
      <c r="E23" s="11" t="n">
        <v>0</v>
      </c>
      <c r="F23" s="11" t="n">
        <v>0</v>
      </c>
      <c r="G23" s="19" t="n">
        <v>1</v>
      </c>
    </row>
    <row r="24" customFormat="false" ht="15" hidden="false" customHeight="false" outlineLevel="0" collapsed="false">
      <c r="A24" s="4" t="s">
        <v>53</v>
      </c>
      <c r="B24" s="6" t="n">
        <v>1</v>
      </c>
      <c r="C24" s="6" t="n">
        <v>0</v>
      </c>
      <c r="D24" s="6" t="n">
        <v>1</v>
      </c>
      <c r="E24" s="6" t="n">
        <v>0</v>
      </c>
      <c r="F24" s="6" t="n">
        <v>0</v>
      </c>
      <c r="G24" s="19" t="n">
        <v>1</v>
      </c>
    </row>
    <row r="25" customFormat="false" ht="15" hidden="false" customHeight="false" outlineLevel="0" collapsed="false">
      <c r="A25" s="9" t="s">
        <v>54</v>
      </c>
      <c r="B25" s="11" t="n">
        <v>1</v>
      </c>
      <c r="C25" s="11" t="n">
        <v>1</v>
      </c>
      <c r="D25" s="11" t="n">
        <v>1</v>
      </c>
      <c r="E25" s="11" t="n">
        <v>1</v>
      </c>
      <c r="F25" s="11" t="n">
        <v>1</v>
      </c>
      <c r="G25" s="19" t="n">
        <v>1</v>
      </c>
    </row>
    <row r="26" customFormat="false" ht="15" hidden="false" customHeight="false" outlineLevel="0" collapsed="false">
      <c r="A26" s="4" t="s">
        <v>55</v>
      </c>
      <c r="B26" s="6" t="n">
        <v>0</v>
      </c>
      <c r="C26" s="6" t="n">
        <v>0</v>
      </c>
      <c r="D26" s="6" t="n">
        <v>1</v>
      </c>
      <c r="E26" s="6" t="n">
        <v>1</v>
      </c>
      <c r="F26" s="6" t="n">
        <v>0</v>
      </c>
      <c r="G26" s="19" t="n">
        <v>1</v>
      </c>
    </row>
    <row r="27" customFormat="false" ht="15" hidden="false" customHeight="false" outlineLevel="0" collapsed="false">
      <c r="A27" s="9" t="s">
        <v>56</v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9" t="n">
        <v>0</v>
      </c>
    </row>
    <row r="28" customFormat="false" ht="15" hidden="false" customHeight="false" outlineLevel="0" collapsed="false">
      <c r="A28" s="4" t="s">
        <v>57</v>
      </c>
      <c r="B28" s="6" t="n">
        <v>0</v>
      </c>
      <c r="C28" s="6" t="n">
        <v>1</v>
      </c>
      <c r="D28" s="6" t="n">
        <v>0</v>
      </c>
      <c r="E28" s="6" t="n">
        <v>0</v>
      </c>
      <c r="F28" s="6" t="n">
        <v>1</v>
      </c>
      <c r="G28" s="19" t="n">
        <v>1</v>
      </c>
    </row>
    <row r="29" customFormat="false" ht="15" hidden="false" customHeight="false" outlineLevel="0" collapsed="false">
      <c r="A29" s="9" t="s">
        <v>58</v>
      </c>
      <c r="B29" s="11" t="n">
        <v>0</v>
      </c>
      <c r="C29" s="11" t="n">
        <v>1</v>
      </c>
      <c r="D29" s="11" t="n">
        <v>0</v>
      </c>
      <c r="E29" s="11" t="n">
        <v>0</v>
      </c>
      <c r="F29" s="11" t="n">
        <v>1</v>
      </c>
      <c r="G29" s="19" t="n">
        <v>1</v>
      </c>
    </row>
    <row r="30" customFormat="false" ht="15" hidden="false" customHeight="false" outlineLevel="0" collapsed="false">
      <c r="A30" s="4" t="s">
        <v>59</v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1</v>
      </c>
      <c r="G30" s="19" t="n">
        <v>1</v>
      </c>
    </row>
    <row r="31" customFormat="false" ht="15" hidden="false" customHeight="false" outlineLevel="0" collapsed="false">
      <c r="A31" s="9" t="s">
        <v>60</v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9" t="n">
        <v>0</v>
      </c>
    </row>
    <row r="32" customFormat="false" ht="15" hidden="false" customHeight="false" outlineLevel="0" collapsed="false">
      <c r="A32" s="4" t="s">
        <v>61</v>
      </c>
      <c r="B32" s="6" t="n">
        <v>0</v>
      </c>
      <c r="C32" s="6" t="n">
        <v>1</v>
      </c>
      <c r="D32" s="6" t="n">
        <v>1</v>
      </c>
      <c r="E32" s="6" t="n">
        <v>0</v>
      </c>
      <c r="F32" s="6" t="n">
        <v>1</v>
      </c>
      <c r="G32" s="19" t="n">
        <v>1</v>
      </c>
    </row>
    <row r="33" customFormat="false" ht="15" hidden="false" customHeight="false" outlineLevel="0" collapsed="false">
      <c r="A33" s="9" t="s">
        <v>62</v>
      </c>
      <c r="B33" s="11" t="n">
        <v>1</v>
      </c>
      <c r="C33" s="11" t="n">
        <v>1</v>
      </c>
      <c r="D33" s="11" t="n">
        <v>1</v>
      </c>
      <c r="E33" s="11" t="n">
        <v>0</v>
      </c>
      <c r="F33" s="11" t="n">
        <v>1</v>
      </c>
      <c r="G33" s="19" t="n">
        <v>1</v>
      </c>
    </row>
    <row r="34" customFormat="false" ht="15" hidden="false" customHeight="false" outlineLevel="0" collapsed="false">
      <c r="A34" s="4" t="s">
        <v>63</v>
      </c>
      <c r="B34" s="6" t="n">
        <v>1</v>
      </c>
      <c r="C34" s="6" t="n">
        <v>1</v>
      </c>
      <c r="D34" s="6" t="n">
        <v>1</v>
      </c>
      <c r="E34" s="6" t="n">
        <v>0</v>
      </c>
      <c r="F34" s="6" t="n">
        <v>1</v>
      </c>
      <c r="G34" s="19" t="n">
        <v>1</v>
      </c>
    </row>
    <row r="35" customFormat="false" ht="15" hidden="false" customHeight="false" outlineLevel="0" collapsed="false">
      <c r="A35" s="9" t="s">
        <v>64</v>
      </c>
      <c r="B35" s="11" t="n">
        <v>0</v>
      </c>
      <c r="C35" s="11" t="n">
        <v>0</v>
      </c>
      <c r="D35" s="11" t="n">
        <v>0</v>
      </c>
      <c r="E35" s="11" t="n">
        <v>1</v>
      </c>
      <c r="F35" s="11" t="n">
        <v>0</v>
      </c>
      <c r="G35" s="19" t="n">
        <v>1</v>
      </c>
    </row>
    <row r="36" customFormat="false" ht="15" hidden="false" customHeight="false" outlineLevel="0" collapsed="false">
      <c r="A36" s="4" t="s">
        <v>65</v>
      </c>
      <c r="B36" s="6" t="n">
        <v>0</v>
      </c>
      <c r="C36" s="6" t="n">
        <v>1</v>
      </c>
      <c r="D36" s="6" t="n">
        <v>0</v>
      </c>
      <c r="E36" s="6" t="n">
        <v>1</v>
      </c>
      <c r="F36" s="6" t="n">
        <v>0</v>
      </c>
      <c r="G36" s="19" t="n">
        <v>1</v>
      </c>
    </row>
    <row r="37" customFormat="false" ht="15" hidden="false" customHeight="false" outlineLevel="0" collapsed="false">
      <c r="A37" s="9" t="s">
        <v>66</v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1</v>
      </c>
      <c r="G37" s="19" t="n">
        <v>1</v>
      </c>
    </row>
    <row r="38" customFormat="false" ht="15" hidden="false" customHeight="false" outlineLevel="0" collapsed="false">
      <c r="A38" s="4" t="s">
        <v>67</v>
      </c>
      <c r="B38" s="6" t="n">
        <v>0</v>
      </c>
      <c r="C38" s="6" t="n">
        <v>0</v>
      </c>
      <c r="D38" s="6" t="n">
        <v>1</v>
      </c>
      <c r="E38" s="6" t="n">
        <v>0</v>
      </c>
      <c r="F38" s="6" t="n">
        <v>1</v>
      </c>
      <c r="G38" s="19" t="n">
        <v>1</v>
      </c>
    </row>
    <row r="40" customFormat="false" ht="15" hidden="false" customHeight="false" outlineLevel="0" collapsed="false">
      <c r="A40" s="20" t="s">
        <v>68</v>
      </c>
      <c r="B40" s="21" t="n">
        <v>35</v>
      </c>
      <c r="C40" s="21" t="n">
        <v>35</v>
      </c>
      <c r="D40" s="21" t="n">
        <v>35</v>
      </c>
      <c r="E40" s="21" t="n">
        <v>35</v>
      </c>
      <c r="F40" s="21" t="n">
        <v>35</v>
      </c>
      <c r="G40" s="19" t="n">
        <v>35</v>
      </c>
    </row>
    <row r="41" customFormat="false" ht="15" hidden="false" customHeight="false" outlineLevel="0" collapsed="false">
      <c r="A41" s="20" t="s">
        <v>69</v>
      </c>
      <c r="B41" s="21" t="n">
        <f aca="false">SUM(B4:B38)</f>
        <v>21</v>
      </c>
      <c r="C41" s="21" t="n">
        <f aca="false">SUM(C4:C38)</f>
        <v>16</v>
      </c>
      <c r="D41" s="21" t="n">
        <f aca="false">SUM(D4:D38)</f>
        <v>16</v>
      </c>
      <c r="E41" s="21" t="n">
        <f aca="false">SUM(E4:E38)</f>
        <v>15</v>
      </c>
      <c r="F41" s="21" t="n">
        <f aca="false">SUM(F4:F38)</f>
        <v>13</v>
      </c>
      <c r="G41" s="19" t="n">
        <f aca="false">SUM(G4:G38)</f>
        <v>33</v>
      </c>
    </row>
    <row r="42" customFormat="false" ht="15" hidden="false" customHeight="false" outlineLevel="0" collapsed="false">
      <c r="A42" s="20" t="s">
        <v>70</v>
      </c>
      <c r="B42" s="21" t="n">
        <f aca="false">B40-B41</f>
        <v>14</v>
      </c>
      <c r="C42" s="21" t="n">
        <f aca="false">C40-C41</f>
        <v>19</v>
      </c>
      <c r="D42" s="21" t="n">
        <f aca="false">D40-D41</f>
        <v>19</v>
      </c>
      <c r="E42" s="21" t="n">
        <f aca="false">E40-E41</f>
        <v>20</v>
      </c>
      <c r="F42" s="21" t="n">
        <f aca="false">F40-F41</f>
        <v>22</v>
      </c>
      <c r="G42" s="19" t="n">
        <f aca="false">G40-G41</f>
        <v>2</v>
      </c>
    </row>
    <row r="43" customFormat="false" ht="15" hidden="false" customHeight="false" outlineLevel="0" collapsed="false">
      <c r="A43" s="20" t="s">
        <v>71</v>
      </c>
      <c r="B43" s="21" t="n">
        <v>0</v>
      </c>
      <c r="C43" s="21" t="n">
        <v>0</v>
      </c>
      <c r="D43" s="21" t="n">
        <v>0</v>
      </c>
      <c r="E43" s="21" t="n">
        <v>0</v>
      </c>
      <c r="F43" s="21" t="n">
        <v>0</v>
      </c>
      <c r="G43" s="19" t="n">
        <v>0</v>
      </c>
    </row>
    <row r="44" customFormat="false" ht="15" hidden="false" customHeight="false" outlineLevel="0" collapsed="false">
      <c r="A44" s="20" t="s">
        <v>3</v>
      </c>
      <c r="B44" s="22" t="n">
        <f aca="false">IFERROR(B41/(B41+B43),0)</f>
        <v>1</v>
      </c>
      <c r="C44" s="22" t="n">
        <f aca="false">IFERROR(C41/(C41+C43),0)</f>
        <v>1</v>
      </c>
      <c r="D44" s="22" t="n">
        <f aca="false">IFERROR(D41/(D41+D43),0)</f>
        <v>1</v>
      </c>
      <c r="E44" s="22" t="n">
        <f aca="false">IFERROR(E41/(E41+E43),0)</f>
        <v>1</v>
      </c>
      <c r="F44" s="22" t="n">
        <f aca="false">IFERROR(F41/(F41+F43),0)</f>
        <v>1</v>
      </c>
      <c r="G44" s="23" t="n">
        <f aca="false">IFERROR(G41/(G41+G43),0)</f>
        <v>1</v>
      </c>
      <c r="H44" s="24" t="n">
        <f aca="false">AVERAGE(B44:F44)</f>
        <v>1</v>
      </c>
    </row>
    <row r="45" customFormat="false" ht="15" hidden="false" customHeight="false" outlineLevel="0" collapsed="false">
      <c r="A45" s="20" t="s">
        <v>4</v>
      </c>
      <c r="B45" s="22" t="n">
        <f aca="false">IFERROR(B41/(B41+B42),0)</f>
        <v>0.6</v>
      </c>
      <c r="C45" s="22" t="n">
        <f aca="false">IFERROR(C41/(C41+C42),0)</f>
        <v>0.457142857142857</v>
      </c>
      <c r="D45" s="22" t="n">
        <f aca="false">IFERROR(D41/(D41+D42),0)</f>
        <v>0.457142857142857</v>
      </c>
      <c r="E45" s="22" t="n">
        <f aca="false">IFERROR(E41/(E41+E42),0)</f>
        <v>0.428571428571429</v>
      </c>
      <c r="F45" s="22" t="n">
        <f aca="false">IFERROR(F41/(F41+F42),0)</f>
        <v>0.371428571428571</v>
      </c>
      <c r="G45" s="23" t="n">
        <f aca="false">IFERROR(G41/(G41+G42),0)</f>
        <v>0.942857142857143</v>
      </c>
      <c r="H45" s="24" t="n">
        <f aca="false">AVERAGE(B45:F45)</f>
        <v>0.462857142857143</v>
      </c>
    </row>
    <row r="46" customFormat="false" ht="15" hidden="false" customHeight="false" outlineLevel="0" collapsed="false">
      <c r="A46" s="20" t="s">
        <v>5</v>
      </c>
      <c r="B46" s="22" t="n">
        <f aca="false">IFERROR(2*B44*B45/(B44+B45),0)</f>
        <v>0.75</v>
      </c>
      <c r="C46" s="22" t="n">
        <f aca="false">IFERROR(2*C44*C45/(C44+C45),0)</f>
        <v>0.627450980392157</v>
      </c>
      <c r="D46" s="22" t="n">
        <f aca="false">IFERROR(2*D44*D45/(D44+D45),0)</f>
        <v>0.627450980392157</v>
      </c>
      <c r="E46" s="22" t="n">
        <f aca="false">IFERROR(2*E44*E45/(E44+E45),0)</f>
        <v>0.6</v>
      </c>
      <c r="F46" s="22" t="n">
        <f aca="false">IFERROR(2*F44*F45/(F44+F45),0)</f>
        <v>0.541666666666667</v>
      </c>
      <c r="G46" s="23" t="n">
        <f aca="false">IFERROR(2*G44*G45/(G44+G45),0)</f>
        <v>0.970588235294118</v>
      </c>
      <c r="H46" s="24" t="n">
        <f aca="false">AVERAGE(B46:F46)</f>
        <v>0.629313725490196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1"/>
  </cols>
  <sheetData>
    <row r="1" customFormat="false" ht="16.15" hidden="false" customHeight="false" outlineLevel="0" collapsed="false">
      <c r="A1" s="18" t="s">
        <v>72</v>
      </c>
    </row>
    <row r="3" customFormat="false" ht="15" hidden="false" customHeight="fals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</row>
    <row r="4" customFormat="false" ht="15" hidden="false" customHeight="false" outlineLevel="0" collapsed="false">
      <c r="A4" s="4" t="s">
        <v>73</v>
      </c>
      <c r="B4" s="6" t="n">
        <v>1</v>
      </c>
      <c r="C4" s="6" t="n">
        <v>1</v>
      </c>
      <c r="D4" s="6" t="n">
        <v>1</v>
      </c>
      <c r="E4" s="6" t="n">
        <v>0</v>
      </c>
      <c r="F4" s="6" t="n">
        <v>0</v>
      </c>
      <c r="G4" s="19" t="n">
        <v>1</v>
      </c>
    </row>
    <row r="5" customFormat="false" ht="15" hidden="false" customHeight="false" outlineLevel="0" collapsed="false">
      <c r="A5" s="9" t="s">
        <v>74</v>
      </c>
      <c r="B5" s="11" t="n">
        <v>0</v>
      </c>
      <c r="C5" s="11" t="n">
        <v>1</v>
      </c>
      <c r="D5" s="11" t="n">
        <v>0</v>
      </c>
      <c r="E5" s="11" t="n">
        <v>1</v>
      </c>
      <c r="F5" s="11" t="n">
        <v>0</v>
      </c>
      <c r="G5" s="19" t="n">
        <v>1</v>
      </c>
    </row>
    <row r="6" customFormat="false" ht="15" hidden="false" customHeight="false" outlineLevel="0" collapsed="false">
      <c r="A6" s="4" t="s">
        <v>75</v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19" t="n">
        <v>0</v>
      </c>
    </row>
    <row r="7" customFormat="false" ht="15" hidden="false" customHeight="false" outlineLevel="0" collapsed="false">
      <c r="A7" s="9" t="s">
        <v>76</v>
      </c>
      <c r="B7" s="11" t="n">
        <v>1</v>
      </c>
      <c r="C7" s="11" t="n">
        <v>1</v>
      </c>
      <c r="D7" s="11" t="n">
        <v>1</v>
      </c>
      <c r="E7" s="11" t="n">
        <v>1</v>
      </c>
      <c r="F7" s="11" t="n">
        <v>1</v>
      </c>
      <c r="G7" s="19" t="n">
        <v>1</v>
      </c>
    </row>
    <row r="8" customFormat="false" ht="15" hidden="false" customHeight="false" outlineLevel="0" collapsed="false">
      <c r="A8" s="4" t="s">
        <v>77</v>
      </c>
      <c r="B8" s="6" t="n">
        <v>1</v>
      </c>
      <c r="C8" s="6" t="n">
        <v>1</v>
      </c>
      <c r="D8" s="6" t="n">
        <v>0</v>
      </c>
      <c r="E8" s="6" t="n">
        <v>1</v>
      </c>
      <c r="F8" s="6" t="n">
        <v>1</v>
      </c>
      <c r="G8" s="19" t="n">
        <v>1</v>
      </c>
    </row>
    <row r="9" customFormat="false" ht="15" hidden="false" customHeight="false" outlineLevel="0" collapsed="false">
      <c r="A9" s="9" t="s">
        <v>78</v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9" t="n">
        <v>0</v>
      </c>
    </row>
    <row r="10" customFormat="false" ht="15" hidden="false" customHeight="false" outlineLevel="0" collapsed="false">
      <c r="A10" s="4" t="s">
        <v>79</v>
      </c>
      <c r="B10" s="6" t="n">
        <v>1</v>
      </c>
      <c r="C10" s="6" t="n">
        <v>0</v>
      </c>
      <c r="D10" s="6" t="n">
        <v>0</v>
      </c>
      <c r="E10" s="6" t="n">
        <v>1</v>
      </c>
      <c r="F10" s="6" t="n">
        <v>0</v>
      </c>
      <c r="G10" s="19" t="n">
        <v>1</v>
      </c>
    </row>
    <row r="11" customFormat="false" ht="15" hidden="false" customHeight="false" outlineLevel="0" collapsed="false">
      <c r="A11" s="9" t="s">
        <v>80</v>
      </c>
      <c r="B11" s="11" t="n">
        <v>1</v>
      </c>
      <c r="C11" s="11" t="n">
        <v>1</v>
      </c>
      <c r="D11" s="11" t="n">
        <v>0</v>
      </c>
      <c r="E11" s="11" t="n">
        <v>1</v>
      </c>
      <c r="F11" s="11" t="n">
        <v>1</v>
      </c>
      <c r="G11" s="19" t="n">
        <v>1</v>
      </c>
    </row>
    <row r="12" customFormat="false" ht="15" hidden="false" customHeight="false" outlineLevel="0" collapsed="false">
      <c r="A12" s="4" t="s">
        <v>81</v>
      </c>
      <c r="B12" s="6" t="n">
        <v>1</v>
      </c>
      <c r="C12" s="6" t="n">
        <v>1</v>
      </c>
      <c r="D12" s="6" t="n">
        <v>1</v>
      </c>
      <c r="E12" s="6" t="n">
        <v>1</v>
      </c>
      <c r="F12" s="6" t="n">
        <v>1</v>
      </c>
      <c r="G12" s="19" t="n">
        <v>1</v>
      </c>
    </row>
    <row r="13" customFormat="false" ht="15" hidden="false" customHeight="false" outlineLevel="0" collapsed="false">
      <c r="A13" s="9" t="s">
        <v>82</v>
      </c>
      <c r="B13" s="11" t="n">
        <v>1</v>
      </c>
      <c r="C13" s="11" t="n">
        <v>0</v>
      </c>
      <c r="D13" s="11" t="n">
        <v>0</v>
      </c>
      <c r="E13" s="11" t="n">
        <v>1</v>
      </c>
      <c r="F13" s="11" t="n">
        <v>1</v>
      </c>
      <c r="G13" s="19" t="n">
        <v>1</v>
      </c>
    </row>
    <row r="14" customFormat="false" ht="15" hidden="false" customHeight="false" outlineLevel="0" collapsed="false">
      <c r="A14" s="4" t="s">
        <v>83</v>
      </c>
      <c r="B14" s="6" t="n">
        <v>0</v>
      </c>
      <c r="C14" s="6" t="n">
        <v>1</v>
      </c>
      <c r="D14" s="6" t="n">
        <v>0</v>
      </c>
      <c r="E14" s="6" t="n">
        <v>0</v>
      </c>
      <c r="F14" s="6" t="n">
        <v>0</v>
      </c>
      <c r="G14" s="19" t="n">
        <v>1</v>
      </c>
    </row>
    <row r="15" customFormat="false" ht="15" hidden="false" customHeight="false" outlineLevel="0" collapsed="false">
      <c r="A15" s="9" t="s">
        <v>84</v>
      </c>
      <c r="B15" s="11" t="n">
        <v>1</v>
      </c>
      <c r="C15" s="11" t="n">
        <v>1</v>
      </c>
      <c r="D15" s="11" t="n">
        <v>1</v>
      </c>
      <c r="E15" s="11" t="n">
        <v>1</v>
      </c>
      <c r="F15" s="11" t="n">
        <v>0</v>
      </c>
      <c r="G15" s="19" t="n">
        <v>1</v>
      </c>
    </row>
    <row r="16" customFormat="false" ht="15" hidden="false" customHeight="false" outlineLevel="0" collapsed="false">
      <c r="A16" s="4" t="s">
        <v>85</v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19" t="n">
        <v>0</v>
      </c>
    </row>
    <row r="17" customFormat="false" ht="15" hidden="false" customHeight="false" outlineLevel="0" collapsed="false">
      <c r="A17" s="9" t="s">
        <v>86</v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9" t="n">
        <v>0</v>
      </c>
    </row>
    <row r="18" customFormat="false" ht="15" hidden="false" customHeight="false" outlineLevel="0" collapsed="false">
      <c r="A18" s="4" t="s">
        <v>87</v>
      </c>
      <c r="B18" s="6" t="n">
        <v>0</v>
      </c>
      <c r="C18" s="6" t="n">
        <v>0</v>
      </c>
      <c r="D18" s="6" t="n">
        <v>1</v>
      </c>
      <c r="E18" s="6" t="n">
        <v>0</v>
      </c>
      <c r="F18" s="6" t="n">
        <v>0</v>
      </c>
      <c r="G18" s="19" t="n">
        <v>1</v>
      </c>
    </row>
    <row r="19" customFormat="false" ht="15" hidden="false" customHeight="false" outlineLevel="0" collapsed="false">
      <c r="A19" s="9" t="s">
        <v>88</v>
      </c>
      <c r="B19" s="11" t="n">
        <v>0</v>
      </c>
      <c r="C19" s="11" t="n">
        <v>0</v>
      </c>
      <c r="D19" s="11" t="n">
        <v>1</v>
      </c>
      <c r="E19" s="11" t="n">
        <v>0</v>
      </c>
      <c r="F19" s="11" t="n">
        <v>0</v>
      </c>
      <c r="G19" s="19" t="n">
        <v>1</v>
      </c>
    </row>
    <row r="20" customFormat="false" ht="15" hidden="false" customHeight="false" outlineLevel="0" collapsed="false">
      <c r="A20" s="4" t="s">
        <v>89</v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19" t="n">
        <v>0</v>
      </c>
    </row>
    <row r="21" customFormat="false" ht="15" hidden="false" customHeight="false" outlineLevel="0" collapsed="false">
      <c r="A21" s="9" t="s">
        <v>90</v>
      </c>
      <c r="B21" s="11" t="n">
        <v>0</v>
      </c>
      <c r="C21" s="11" t="n">
        <v>0</v>
      </c>
      <c r="D21" s="11" t="n">
        <v>1</v>
      </c>
      <c r="E21" s="11" t="n">
        <v>0</v>
      </c>
      <c r="F21" s="11" t="n">
        <v>1</v>
      </c>
      <c r="G21" s="19" t="n">
        <v>1</v>
      </c>
    </row>
    <row r="22" customFormat="false" ht="15" hidden="false" customHeight="false" outlineLevel="0" collapsed="false">
      <c r="A22" s="4" t="s">
        <v>91</v>
      </c>
      <c r="B22" s="6" t="n">
        <v>0</v>
      </c>
      <c r="C22" s="6" t="n">
        <v>1</v>
      </c>
      <c r="D22" s="6" t="n">
        <v>0</v>
      </c>
      <c r="E22" s="6" t="n">
        <v>0</v>
      </c>
      <c r="F22" s="6" t="n">
        <v>0</v>
      </c>
      <c r="G22" s="19" t="n">
        <v>1</v>
      </c>
    </row>
    <row r="23" customFormat="false" ht="15" hidden="false" customHeight="false" outlineLevel="0" collapsed="false">
      <c r="A23" s="9" t="s">
        <v>92</v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1</v>
      </c>
      <c r="G23" s="19" t="n">
        <v>1</v>
      </c>
    </row>
    <row r="24" customFormat="false" ht="15" hidden="false" customHeight="false" outlineLevel="0" collapsed="false">
      <c r="A24" s="4" t="s">
        <v>93</v>
      </c>
      <c r="B24" s="6" t="n">
        <v>0</v>
      </c>
      <c r="C24" s="6" t="n">
        <v>1</v>
      </c>
      <c r="D24" s="6" t="n">
        <v>0</v>
      </c>
      <c r="E24" s="6" t="n">
        <v>0</v>
      </c>
      <c r="F24" s="6" t="n">
        <v>1</v>
      </c>
      <c r="G24" s="19" t="n">
        <v>1</v>
      </c>
    </row>
    <row r="25" customFormat="false" ht="15" hidden="false" customHeight="false" outlineLevel="0" collapsed="false">
      <c r="A25" s="9" t="s">
        <v>94</v>
      </c>
      <c r="B25" s="11" t="n">
        <v>0</v>
      </c>
      <c r="C25" s="11" t="n">
        <v>1</v>
      </c>
      <c r="D25" s="11" t="n">
        <v>0</v>
      </c>
      <c r="E25" s="11" t="n">
        <v>0</v>
      </c>
      <c r="F25" s="11" t="n">
        <v>1</v>
      </c>
      <c r="G25" s="19" t="n">
        <v>1</v>
      </c>
    </row>
    <row r="26" customFormat="false" ht="15" hidden="false" customHeight="false" outlineLevel="0" collapsed="false">
      <c r="A26" s="4" t="s">
        <v>95</v>
      </c>
      <c r="B26" s="6" t="n">
        <v>0</v>
      </c>
      <c r="C26" s="6" t="n">
        <v>1</v>
      </c>
      <c r="D26" s="6" t="n">
        <v>0</v>
      </c>
      <c r="E26" s="6" t="n">
        <v>0</v>
      </c>
      <c r="F26" s="6" t="n">
        <v>1</v>
      </c>
      <c r="G26" s="19" t="n">
        <v>1</v>
      </c>
    </row>
    <row r="27" customFormat="false" ht="15" hidden="false" customHeight="false" outlineLevel="0" collapsed="false">
      <c r="A27" s="9" t="s">
        <v>96</v>
      </c>
      <c r="B27" s="11" t="n">
        <v>0</v>
      </c>
      <c r="C27" s="11" t="n">
        <v>1</v>
      </c>
      <c r="D27" s="11" t="n">
        <v>0</v>
      </c>
      <c r="E27" s="11" t="n">
        <v>0</v>
      </c>
      <c r="F27" s="11" t="n">
        <v>1</v>
      </c>
      <c r="G27" s="19" t="n">
        <v>1</v>
      </c>
    </row>
    <row r="28" customFormat="false" ht="15" hidden="false" customHeight="false" outlineLevel="0" collapsed="false">
      <c r="A28" s="4" t="s">
        <v>97</v>
      </c>
      <c r="B28" s="6" t="n">
        <v>0</v>
      </c>
      <c r="C28" s="6" t="n">
        <v>1</v>
      </c>
      <c r="D28" s="6" t="n">
        <v>0</v>
      </c>
      <c r="E28" s="6" t="n">
        <v>0</v>
      </c>
      <c r="F28" s="6" t="n">
        <v>1</v>
      </c>
      <c r="G28" s="19" t="n">
        <v>1</v>
      </c>
    </row>
    <row r="29" customFormat="false" ht="15" hidden="false" customHeight="false" outlineLevel="0" collapsed="false">
      <c r="A29" s="9" t="s">
        <v>98</v>
      </c>
      <c r="B29" s="11" t="n">
        <v>0</v>
      </c>
      <c r="C29" s="11" t="n">
        <v>1</v>
      </c>
      <c r="D29" s="11" t="n">
        <v>0</v>
      </c>
      <c r="E29" s="11" t="n">
        <v>0</v>
      </c>
      <c r="F29" s="11" t="n">
        <v>1</v>
      </c>
      <c r="G29" s="19" t="n">
        <v>1</v>
      </c>
    </row>
    <row r="30" customFormat="false" ht="15" hidden="false" customHeight="false" outlineLevel="0" collapsed="false">
      <c r="A30" s="4" t="s">
        <v>99</v>
      </c>
      <c r="B30" s="6" t="n">
        <v>0</v>
      </c>
      <c r="C30" s="6" t="n">
        <v>1</v>
      </c>
      <c r="D30" s="6" t="n">
        <v>0</v>
      </c>
      <c r="E30" s="6" t="n">
        <v>0</v>
      </c>
      <c r="F30" s="6" t="n">
        <v>1</v>
      </c>
      <c r="G30" s="19" t="n">
        <v>1</v>
      </c>
    </row>
    <row r="31" customFormat="false" ht="15" hidden="false" customHeight="false" outlineLevel="0" collapsed="false">
      <c r="A31" s="9" t="s">
        <v>100</v>
      </c>
      <c r="B31" s="11" t="n">
        <v>0</v>
      </c>
      <c r="C31" s="11" t="n">
        <v>1</v>
      </c>
      <c r="D31" s="11" t="n">
        <v>0</v>
      </c>
      <c r="E31" s="11" t="n">
        <v>0</v>
      </c>
      <c r="F31" s="11" t="n">
        <v>1</v>
      </c>
      <c r="G31" s="19" t="n">
        <v>1</v>
      </c>
    </row>
    <row r="32" customFormat="false" ht="15" hidden="false" customHeight="false" outlineLevel="0" collapsed="false">
      <c r="A32" s="4" t="s">
        <v>101</v>
      </c>
      <c r="B32" s="6" t="n">
        <v>1</v>
      </c>
      <c r="C32" s="6" t="n">
        <v>1</v>
      </c>
      <c r="D32" s="6" t="n">
        <v>0</v>
      </c>
      <c r="E32" s="6" t="n">
        <v>0</v>
      </c>
      <c r="F32" s="6" t="n">
        <v>1</v>
      </c>
      <c r="G32" s="19" t="n">
        <v>1</v>
      </c>
    </row>
    <row r="33" customFormat="false" ht="15" hidden="false" customHeight="false" outlineLevel="0" collapsed="false">
      <c r="A33" s="9" t="s">
        <v>102</v>
      </c>
      <c r="B33" s="11" t="n">
        <v>0</v>
      </c>
      <c r="C33" s="11" t="n">
        <v>1</v>
      </c>
      <c r="D33" s="11" t="n">
        <v>0</v>
      </c>
      <c r="E33" s="11" t="n">
        <v>0</v>
      </c>
      <c r="F33" s="11" t="n">
        <v>1</v>
      </c>
      <c r="G33" s="19" t="n">
        <v>1</v>
      </c>
    </row>
    <row r="34" customFormat="false" ht="15" hidden="false" customHeight="false" outlineLevel="0" collapsed="false">
      <c r="A34" s="4" t="s">
        <v>103</v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19" t="n">
        <v>0</v>
      </c>
    </row>
    <row r="35" customFormat="false" ht="15" hidden="false" customHeight="false" outlineLevel="0" collapsed="false">
      <c r="A35" s="9" t="s">
        <v>104</v>
      </c>
      <c r="B35" s="11" t="n">
        <v>0</v>
      </c>
      <c r="C35" s="11" t="n">
        <v>0</v>
      </c>
      <c r="D35" s="11" t="n">
        <v>1</v>
      </c>
      <c r="E35" s="11" t="n">
        <v>0</v>
      </c>
      <c r="F35" s="11" t="n">
        <v>1</v>
      </c>
      <c r="G35" s="19" t="n">
        <v>1</v>
      </c>
    </row>
    <row r="36" customFormat="false" ht="15" hidden="false" customHeight="false" outlineLevel="0" collapsed="false">
      <c r="A36" s="4" t="s">
        <v>105</v>
      </c>
      <c r="B36" s="6" t="n">
        <v>0</v>
      </c>
      <c r="C36" s="6" t="n">
        <v>0</v>
      </c>
      <c r="D36" s="6" t="n">
        <v>1</v>
      </c>
      <c r="E36" s="6" t="n">
        <v>0</v>
      </c>
      <c r="F36" s="6" t="n">
        <v>0</v>
      </c>
      <c r="G36" s="19" t="n">
        <v>1</v>
      </c>
    </row>
    <row r="37" customFormat="false" ht="15" hidden="false" customHeight="false" outlineLevel="0" collapsed="false">
      <c r="A37" s="9" t="s">
        <v>106</v>
      </c>
      <c r="B37" s="11" t="n">
        <v>0</v>
      </c>
      <c r="C37" s="11" t="n">
        <v>0</v>
      </c>
      <c r="D37" s="11" t="n">
        <v>1</v>
      </c>
      <c r="E37" s="11" t="n">
        <v>0</v>
      </c>
      <c r="F37" s="11" t="n">
        <v>1</v>
      </c>
      <c r="G37" s="19" t="n">
        <v>1</v>
      </c>
    </row>
    <row r="38" customFormat="false" ht="15" hidden="false" customHeight="false" outlineLevel="0" collapsed="false">
      <c r="A38" s="4" t="s">
        <v>107</v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0</v>
      </c>
      <c r="G38" s="19" t="n">
        <v>0</v>
      </c>
    </row>
    <row r="39" customFormat="false" ht="15" hidden="false" customHeight="false" outlineLevel="0" collapsed="false">
      <c r="A39" s="9" t="s">
        <v>108</v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9" t="n">
        <v>0</v>
      </c>
    </row>
    <row r="40" customFormat="false" ht="15" hidden="false" customHeight="false" outlineLevel="0" collapsed="false">
      <c r="A40" s="4" t="s">
        <v>109</v>
      </c>
      <c r="B40" s="6" t="n">
        <v>1</v>
      </c>
      <c r="C40" s="6" t="n">
        <v>0</v>
      </c>
      <c r="D40" s="6" t="n">
        <v>1</v>
      </c>
      <c r="E40" s="6" t="n">
        <v>1</v>
      </c>
      <c r="F40" s="6" t="n">
        <v>1</v>
      </c>
      <c r="G40" s="19" t="n">
        <v>1</v>
      </c>
    </row>
    <row r="41" customFormat="false" ht="15" hidden="false" customHeight="false" outlineLevel="0" collapsed="false">
      <c r="A41" s="9" t="s">
        <v>110</v>
      </c>
      <c r="B41" s="11" t="n">
        <v>0</v>
      </c>
      <c r="C41" s="11" t="n">
        <v>0</v>
      </c>
      <c r="D41" s="11" t="n">
        <v>0</v>
      </c>
      <c r="E41" s="11" t="n">
        <v>1</v>
      </c>
      <c r="F41" s="11" t="n">
        <v>0</v>
      </c>
      <c r="G41" s="19" t="n">
        <v>1</v>
      </c>
    </row>
    <row r="42" customFormat="false" ht="15" hidden="false" customHeight="false" outlineLevel="0" collapsed="false">
      <c r="A42" s="4" t="s">
        <v>111</v>
      </c>
      <c r="B42" s="6" t="n">
        <v>1</v>
      </c>
      <c r="C42" s="6" t="n">
        <v>1</v>
      </c>
      <c r="D42" s="6" t="n">
        <v>0</v>
      </c>
      <c r="E42" s="6" t="n">
        <v>1</v>
      </c>
      <c r="F42" s="6" t="n">
        <v>1</v>
      </c>
      <c r="G42" s="19" t="n">
        <v>1</v>
      </c>
    </row>
    <row r="43" customFormat="false" ht="15" hidden="false" customHeight="false" outlineLevel="0" collapsed="false">
      <c r="A43" s="9" t="s">
        <v>112</v>
      </c>
      <c r="B43" s="11" t="n">
        <v>1</v>
      </c>
      <c r="C43" s="11" t="n">
        <v>0</v>
      </c>
      <c r="D43" s="11" t="n">
        <v>1</v>
      </c>
      <c r="E43" s="11" t="n">
        <v>1</v>
      </c>
      <c r="F43" s="11" t="n">
        <v>0</v>
      </c>
      <c r="G43" s="19" t="n">
        <v>1</v>
      </c>
    </row>
    <row r="44" customFormat="false" ht="15" hidden="false" customHeight="false" outlineLevel="0" collapsed="false">
      <c r="A44" s="4" t="s">
        <v>113</v>
      </c>
      <c r="B44" s="6" t="n">
        <v>0</v>
      </c>
      <c r="C44" s="6" t="n">
        <v>0</v>
      </c>
      <c r="D44" s="6" t="n">
        <v>0</v>
      </c>
      <c r="E44" s="6" t="n">
        <v>0</v>
      </c>
      <c r="F44" s="6" t="n">
        <v>1</v>
      </c>
      <c r="G44" s="19" t="n">
        <v>1</v>
      </c>
    </row>
    <row r="45" customFormat="false" ht="15" hidden="false" customHeight="false" outlineLevel="0" collapsed="false">
      <c r="A45" s="9" t="s">
        <v>114</v>
      </c>
      <c r="B45" s="11" t="n">
        <v>1</v>
      </c>
      <c r="C45" s="11" t="n">
        <v>0</v>
      </c>
      <c r="D45" s="11" t="n">
        <v>0</v>
      </c>
      <c r="E45" s="11" t="n">
        <v>1</v>
      </c>
      <c r="F45" s="11" t="n">
        <v>0</v>
      </c>
      <c r="G45" s="19" t="n">
        <v>1</v>
      </c>
    </row>
    <row r="47" customFormat="false" ht="15" hidden="false" customHeight="false" outlineLevel="0" collapsed="false">
      <c r="A47" s="20" t="s">
        <v>68</v>
      </c>
      <c r="B47" s="21" t="n">
        <v>42</v>
      </c>
      <c r="C47" s="21" t="n">
        <v>42</v>
      </c>
      <c r="D47" s="21" t="n">
        <v>42</v>
      </c>
      <c r="E47" s="21" t="n">
        <v>42</v>
      </c>
      <c r="F47" s="21" t="n">
        <v>42</v>
      </c>
      <c r="G47" s="19" t="n">
        <v>42</v>
      </c>
    </row>
    <row r="48" customFormat="false" ht="15" hidden="false" customHeight="false" outlineLevel="0" collapsed="false">
      <c r="A48" s="20" t="s">
        <v>69</v>
      </c>
      <c r="B48" s="21" t="n">
        <f aca="false">SUM(B4:B45)</f>
        <v>13</v>
      </c>
      <c r="C48" s="21" t="n">
        <f aca="false">SUM(C4:C45)</f>
        <v>20</v>
      </c>
      <c r="D48" s="21" t="n">
        <f aca="false">SUM(D4:D45)</f>
        <v>12</v>
      </c>
      <c r="E48" s="21" t="n">
        <f aca="false">SUM(E4:E45)</f>
        <v>13</v>
      </c>
      <c r="F48" s="21" t="n">
        <f aca="false">SUM(F4:F45)</f>
        <v>22</v>
      </c>
      <c r="G48" s="19" t="n">
        <f aca="false">SUM(G4:G45)</f>
        <v>34</v>
      </c>
    </row>
    <row r="49" customFormat="false" ht="15" hidden="false" customHeight="false" outlineLevel="0" collapsed="false">
      <c r="A49" s="20" t="s">
        <v>70</v>
      </c>
      <c r="B49" s="21" t="n">
        <f aca="false">B47-B48</f>
        <v>29</v>
      </c>
      <c r="C49" s="21" t="n">
        <f aca="false">C47-C48</f>
        <v>22</v>
      </c>
      <c r="D49" s="21" t="n">
        <f aca="false">D47-D48</f>
        <v>30</v>
      </c>
      <c r="E49" s="21" t="n">
        <f aca="false">E47-E48</f>
        <v>29</v>
      </c>
      <c r="F49" s="21" t="n">
        <f aca="false">F47-F48</f>
        <v>20</v>
      </c>
      <c r="G49" s="19" t="n">
        <f aca="false">G47-G48</f>
        <v>8</v>
      </c>
    </row>
    <row r="50" customFormat="false" ht="15" hidden="false" customHeight="false" outlineLevel="0" collapsed="false">
      <c r="A50" s="20" t="s">
        <v>71</v>
      </c>
      <c r="B50" s="21" t="n">
        <v>0</v>
      </c>
      <c r="C50" s="21" t="n">
        <v>0</v>
      </c>
      <c r="D50" s="21" t="n">
        <v>0</v>
      </c>
      <c r="E50" s="21" t="n">
        <v>0</v>
      </c>
      <c r="F50" s="21" t="n">
        <v>0</v>
      </c>
      <c r="G50" s="19" t="n">
        <v>0</v>
      </c>
    </row>
    <row r="51" customFormat="false" ht="15" hidden="false" customHeight="false" outlineLevel="0" collapsed="false">
      <c r="A51" s="20" t="s">
        <v>3</v>
      </c>
      <c r="B51" s="22" t="n">
        <f aca="false">IFERROR(B48/(B48+B50),0)</f>
        <v>1</v>
      </c>
      <c r="C51" s="22" t="n">
        <f aca="false">IFERROR(C48/(C48+C50),0)</f>
        <v>1</v>
      </c>
      <c r="D51" s="22" t="n">
        <f aca="false">IFERROR(D48/(D48+D50),0)</f>
        <v>1</v>
      </c>
      <c r="E51" s="22" t="n">
        <f aca="false">IFERROR(E48/(E48+E50),0)</f>
        <v>1</v>
      </c>
      <c r="F51" s="22" t="n">
        <f aca="false">IFERROR(F48/(F48+F50),0)</f>
        <v>1</v>
      </c>
      <c r="G51" s="23" t="n">
        <f aca="false">IFERROR(G48/(G48+G50),0)</f>
        <v>1</v>
      </c>
      <c r="H51" s="24" t="n">
        <f aca="false">AVERAGE(B51:F51)</f>
        <v>1</v>
      </c>
    </row>
    <row r="52" customFormat="false" ht="15" hidden="false" customHeight="false" outlineLevel="0" collapsed="false">
      <c r="A52" s="20" t="s">
        <v>4</v>
      </c>
      <c r="B52" s="22" t="n">
        <f aca="false">IFERROR(B48/(B48+B49),0)</f>
        <v>0.30952380952381</v>
      </c>
      <c r="C52" s="22" t="n">
        <f aca="false">IFERROR(C48/(C48+C49),0)</f>
        <v>0.476190476190476</v>
      </c>
      <c r="D52" s="22" t="n">
        <f aca="false">IFERROR(D48/(D48+D49),0)</f>
        <v>0.285714285714286</v>
      </c>
      <c r="E52" s="22" t="n">
        <f aca="false">IFERROR(E48/(E48+E49),0)</f>
        <v>0.30952380952381</v>
      </c>
      <c r="F52" s="22" t="n">
        <f aca="false">IFERROR(F48/(F48+F49),0)</f>
        <v>0.523809523809524</v>
      </c>
      <c r="G52" s="23" t="n">
        <f aca="false">IFERROR(G48/(G48+G49),0)</f>
        <v>0.80952380952381</v>
      </c>
      <c r="H52" s="24" t="n">
        <f aca="false">AVERAGE(B52:F52)</f>
        <v>0.380952380952381</v>
      </c>
    </row>
    <row r="53" customFormat="false" ht="15" hidden="false" customHeight="false" outlineLevel="0" collapsed="false">
      <c r="A53" s="20" t="s">
        <v>5</v>
      </c>
      <c r="B53" s="22" t="n">
        <f aca="false">IFERROR(2*B51*B52/(B51+B52),0)</f>
        <v>0.472727272727273</v>
      </c>
      <c r="C53" s="22" t="n">
        <f aca="false">IFERROR(2*C51*C52/(C51+C52),0)</f>
        <v>0.645161290322581</v>
      </c>
      <c r="D53" s="22" t="n">
        <f aca="false">IFERROR(2*D51*D52/(D51+D52),0)</f>
        <v>0.444444444444445</v>
      </c>
      <c r="E53" s="22" t="n">
        <f aca="false">IFERROR(2*E51*E52/(E51+E52),0)</f>
        <v>0.472727272727273</v>
      </c>
      <c r="F53" s="22" t="n">
        <f aca="false">IFERROR(2*F51*F52/(F51+F52),0)</f>
        <v>0.6875</v>
      </c>
      <c r="G53" s="23" t="n">
        <f aca="false">IFERROR(2*G51*G52/(G51+G52),0)</f>
        <v>0.894736842105263</v>
      </c>
      <c r="H53" s="24" t="n">
        <f aca="false">AVERAGE(B53:F53)</f>
        <v>0.544512056044314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1"/>
  </cols>
  <sheetData>
    <row r="1" customFormat="false" ht="16.15" hidden="false" customHeight="false" outlineLevel="0" collapsed="false">
      <c r="A1" s="18" t="s">
        <v>115</v>
      </c>
    </row>
    <row r="3" customFormat="false" ht="15" hidden="false" customHeight="fals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</row>
    <row r="4" customFormat="false" ht="15" hidden="false" customHeight="false" outlineLevel="0" collapsed="false">
      <c r="A4" s="4" t="s">
        <v>116</v>
      </c>
      <c r="B4" s="6" t="n">
        <v>1</v>
      </c>
      <c r="C4" s="6" t="n">
        <v>0</v>
      </c>
      <c r="D4" s="6" t="n">
        <v>0</v>
      </c>
      <c r="E4" s="6" t="n">
        <v>0</v>
      </c>
      <c r="F4" s="6" t="n">
        <v>0</v>
      </c>
      <c r="G4" s="19" t="n">
        <v>1</v>
      </c>
    </row>
    <row r="5" customFormat="false" ht="15" hidden="false" customHeight="false" outlineLevel="0" collapsed="false">
      <c r="A5" s="9" t="s">
        <v>117</v>
      </c>
      <c r="B5" s="11" t="n">
        <v>1</v>
      </c>
      <c r="C5" s="11" t="n">
        <v>0</v>
      </c>
      <c r="D5" s="11" t="n">
        <v>0</v>
      </c>
      <c r="E5" s="11" t="n">
        <v>0</v>
      </c>
      <c r="F5" s="11" t="n">
        <v>0</v>
      </c>
      <c r="G5" s="19" t="n">
        <v>1</v>
      </c>
    </row>
    <row r="6" customFormat="false" ht="15" hidden="false" customHeight="false" outlineLevel="0" collapsed="false">
      <c r="A6" s="4" t="s">
        <v>118</v>
      </c>
      <c r="B6" s="6" t="n">
        <v>1</v>
      </c>
      <c r="C6" s="6" t="n">
        <v>0</v>
      </c>
      <c r="D6" s="6" t="n">
        <v>0</v>
      </c>
      <c r="E6" s="6" t="n">
        <v>1</v>
      </c>
      <c r="F6" s="6" t="n">
        <v>1</v>
      </c>
      <c r="G6" s="19" t="n">
        <v>1</v>
      </c>
    </row>
    <row r="7" customFormat="false" ht="15" hidden="false" customHeight="false" outlineLevel="0" collapsed="false">
      <c r="A7" s="9" t="s">
        <v>119</v>
      </c>
      <c r="B7" s="11" t="n">
        <v>1</v>
      </c>
      <c r="C7" s="11" t="n">
        <v>0</v>
      </c>
      <c r="D7" s="11" t="n">
        <v>0</v>
      </c>
      <c r="E7" s="11" t="n">
        <v>1</v>
      </c>
      <c r="F7" s="11" t="n">
        <v>1</v>
      </c>
      <c r="G7" s="19" t="n">
        <v>1</v>
      </c>
    </row>
    <row r="8" customFormat="false" ht="15" hidden="false" customHeight="false" outlineLevel="0" collapsed="false">
      <c r="A8" s="4" t="s">
        <v>120</v>
      </c>
      <c r="B8" s="6" t="n">
        <v>1</v>
      </c>
      <c r="C8" s="6" t="n">
        <v>1</v>
      </c>
      <c r="D8" s="6" t="n">
        <v>1</v>
      </c>
      <c r="E8" s="6" t="n">
        <v>1</v>
      </c>
      <c r="F8" s="6" t="n">
        <v>1</v>
      </c>
      <c r="G8" s="19" t="n">
        <v>1</v>
      </c>
    </row>
    <row r="9" customFormat="false" ht="15" hidden="false" customHeight="false" outlineLevel="0" collapsed="false">
      <c r="A9" s="9" t="s">
        <v>121</v>
      </c>
      <c r="B9" s="11" t="n">
        <v>1</v>
      </c>
      <c r="C9" s="11" t="n">
        <v>0</v>
      </c>
      <c r="D9" s="11" t="n">
        <v>1</v>
      </c>
      <c r="E9" s="11" t="n">
        <v>1</v>
      </c>
      <c r="F9" s="11" t="n">
        <v>1</v>
      </c>
      <c r="G9" s="19" t="n">
        <v>1</v>
      </c>
    </row>
    <row r="10" customFormat="false" ht="15" hidden="false" customHeight="false" outlineLevel="0" collapsed="false">
      <c r="A10" s="4" t="s">
        <v>122</v>
      </c>
      <c r="B10" s="6" t="n">
        <v>0</v>
      </c>
      <c r="C10" s="6" t="n">
        <v>1</v>
      </c>
      <c r="D10" s="6" t="n">
        <v>0</v>
      </c>
      <c r="E10" s="6" t="n">
        <v>0</v>
      </c>
      <c r="F10" s="6" t="n">
        <v>0</v>
      </c>
      <c r="G10" s="19" t="n">
        <v>1</v>
      </c>
    </row>
    <row r="11" customFormat="false" ht="15" hidden="false" customHeight="false" outlineLevel="0" collapsed="false">
      <c r="A11" s="9" t="s">
        <v>123</v>
      </c>
      <c r="B11" s="11" t="n">
        <v>0</v>
      </c>
      <c r="C11" s="11" t="n">
        <v>1</v>
      </c>
      <c r="D11" s="11" t="n">
        <v>0</v>
      </c>
      <c r="E11" s="11" t="n">
        <v>0</v>
      </c>
      <c r="F11" s="11" t="n">
        <v>0</v>
      </c>
      <c r="G11" s="19" t="n">
        <v>1</v>
      </c>
    </row>
    <row r="12" customFormat="false" ht="15" hidden="false" customHeight="false" outlineLevel="0" collapsed="false">
      <c r="A12" s="4" t="s">
        <v>124</v>
      </c>
      <c r="B12" s="6" t="n">
        <v>0</v>
      </c>
      <c r="C12" s="6" t="n">
        <v>1</v>
      </c>
      <c r="D12" s="6" t="n">
        <v>0</v>
      </c>
      <c r="E12" s="6" t="n">
        <v>0</v>
      </c>
      <c r="F12" s="6" t="n">
        <v>0</v>
      </c>
      <c r="G12" s="19" t="n">
        <v>1</v>
      </c>
    </row>
    <row r="13" customFormat="false" ht="15" hidden="false" customHeight="false" outlineLevel="0" collapsed="false">
      <c r="A13" s="9" t="s">
        <v>125</v>
      </c>
      <c r="B13" s="11" t="n">
        <v>1</v>
      </c>
      <c r="C13" s="11" t="n">
        <v>1</v>
      </c>
      <c r="D13" s="11" t="n">
        <v>0</v>
      </c>
      <c r="E13" s="11" t="n">
        <v>0</v>
      </c>
      <c r="F13" s="11" t="n">
        <v>1</v>
      </c>
      <c r="G13" s="19" t="n">
        <v>1</v>
      </c>
    </row>
    <row r="14" customFormat="false" ht="15" hidden="false" customHeight="false" outlineLevel="0" collapsed="false">
      <c r="A14" s="4" t="s">
        <v>126</v>
      </c>
      <c r="B14" s="6" t="n">
        <v>1</v>
      </c>
      <c r="C14" s="6" t="n">
        <v>1</v>
      </c>
      <c r="D14" s="6" t="n">
        <v>0</v>
      </c>
      <c r="E14" s="6" t="n">
        <v>0</v>
      </c>
      <c r="F14" s="6" t="n">
        <v>0</v>
      </c>
      <c r="G14" s="19" t="n">
        <v>1</v>
      </c>
    </row>
    <row r="15" customFormat="false" ht="15" hidden="false" customHeight="false" outlineLevel="0" collapsed="false">
      <c r="A15" s="9" t="s">
        <v>127</v>
      </c>
      <c r="B15" s="11" t="n">
        <v>0</v>
      </c>
      <c r="C15" s="11" t="n">
        <v>1</v>
      </c>
      <c r="D15" s="11" t="n">
        <v>0</v>
      </c>
      <c r="E15" s="11" t="n">
        <v>0</v>
      </c>
      <c r="F15" s="11" t="n">
        <v>1</v>
      </c>
      <c r="G15" s="19" t="n">
        <v>1</v>
      </c>
    </row>
    <row r="16" customFormat="false" ht="15" hidden="false" customHeight="false" outlineLevel="0" collapsed="false">
      <c r="A16" s="4" t="s">
        <v>106</v>
      </c>
      <c r="B16" s="6" t="n">
        <v>0</v>
      </c>
      <c r="C16" s="6" t="n">
        <v>1</v>
      </c>
      <c r="D16" s="6" t="n">
        <v>0</v>
      </c>
      <c r="E16" s="6" t="n">
        <v>1</v>
      </c>
      <c r="F16" s="6" t="n">
        <v>1</v>
      </c>
      <c r="G16" s="19" t="n">
        <v>1</v>
      </c>
    </row>
    <row r="17" customFormat="false" ht="15" hidden="false" customHeight="false" outlineLevel="0" collapsed="false">
      <c r="A17" s="9" t="s">
        <v>128</v>
      </c>
      <c r="B17" s="11" t="n">
        <v>1</v>
      </c>
      <c r="C17" s="11" t="n">
        <v>0</v>
      </c>
      <c r="D17" s="11" t="n">
        <v>0</v>
      </c>
      <c r="E17" s="11" t="n">
        <v>0</v>
      </c>
      <c r="F17" s="11" t="n">
        <v>0</v>
      </c>
      <c r="G17" s="19" t="n">
        <v>1</v>
      </c>
    </row>
    <row r="18" customFormat="false" ht="15" hidden="false" customHeight="false" outlineLevel="0" collapsed="false">
      <c r="A18" s="4" t="s">
        <v>129</v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1</v>
      </c>
      <c r="G18" s="19" t="n">
        <v>1</v>
      </c>
    </row>
    <row r="19" customFormat="false" ht="15" hidden="false" customHeight="false" outlineLevel="0" collapsed="false">
      <c r="A19" s="9" t="s">
        <v>130</v>
      </c>
      <c r="B19" s="11" t="n">
        <v>0</v>
      </c>
      <c r="C19" s="11" t="n">
        <v>1</v>
      </c>
      <c r="D19" s="11" t="n">
        <v>0</v>
      </c>
      <c r="E19" s="11" t="n">
        <v>1</v>
      </c>
      <c r="F19" s="11" t="n">
        <v>1</v>
      </c>
      <c r="G19" s="19" t="n">
        <v>1</v>
      </c>
    </row>
    <row r="20" customFormat="false" ht="15" hidden="false" customHeight="false" outlineLevel="0" collapsed="false">
      <c r="A20" s="4" t="s">
        <v>131</v>
      </c>
      <c r="B20" s="6" t="n">
        <v>0</v>
      </c>
      <c r="C20" s="6" t="n">
        <v>1</v>
      </c>
      <c r="D20" s="6" t="n">
        <v>0</v>
      </c>
      <c r="E20" s="6" t="n">
        <v>0</v>
      </c>
      <c r="F20" s="6" t="n">
        <v>1</v>
      </c>
      <c r="G20" s="19" t="n">
        <v>1</v>
      </c>
    </row>
    <row r="21" customFormat="false" ht="15" hidden="false" customHeight="false" outlineLevel="0" collapsed="false">
      <c r="A21" s="9" t="s">
        <v>132</v>
      </c>
      <c r="B21" s="11" t="n">
        <v>0</v>
      </c>
      <c r="C21" s="11" t="n">
        <v>1</v>
      </c>
      <c r="D21" s="11" t="n">
        <v>0</v>
      </c>
      <c r="E21" s="11" t="n">
        <v>1</v>
      </c>
      <c r="F21" s="11" t="n">
        <v>1</v>
      </c>
      <c r="G21" s="19" t="n">
        <v>1</v>
      </c>
    </row>
    <row r="22" customFormat="false" ht="15" hidden="false" customHeight="false" outlineLevel="0" collapsed="false">
      <c r="A22" s="4" t="s">
        <v>133</v>
      </c>
      <c r="B22" s="6" t="n">
        <v>0</v>
      </c>
      <c r="C22" s="6" t="n">
        <v>1</v>
      </c>
      <c r="D22" s="6" t="n">
        <v>0</v>
      </c>
      <c r="E22" s="6" t="n">
        <v>1</v>
      </c>
      <c r="F22" s="6" t="n">
        <v>1</v>
      </c>
      <c r="G22" s="19" t="n">
        <v>1</v>
      </c>
    </row>
    <row r="23" customFormat="false" ht="15" hidden="false" customHeight="false" outlineLevel="0" collapsed="false">
      <c r="A23" s="9" t="s">
        <v>134</v>
      </c>
      <c r="B23" s="11" t="n">
        <v>0</v>
      </c>
      <c r="C23" s="11" t="n">
        <v>1</v>
      </c>
      <c r="D23" s="11" t="n">
        <v>0</v>
      </c>
      <c r="E23" s="11" t="n">
        <v>0</v>
      </c>
      <c r="F23" s="11" t="n">
        <v>0</v>
      </c>
      <c r="G23" s="19" t="n">
        <v>1</v>
      </c>
    </row>
    <row r="24" customFormat="false" ht="15" hidden="false" customHeight="false" outlineLevel="0" collapsed="false">
      <c r="A24" s="4" t="s">
        <v>135</v>
      </c>
      <c r="B24" s="6" t="n">
        <v>0</v>
      </c>
      <c r="C24" s="6" t="n">
        <v>1</v>
      </c>
      <c r="D24" s="6" t="n">
        <v>0</v>
      </c>
      <c r="E24" s="6" t="n">
        <v>1</v>
      </c>
      <c r="F24" s="6" t="n">
        <v>0</v>
      </c>
      <c r="G24" s="19" t="n">
        <v>1</v>
      </c>
    </row>
    <row r="25" customFormat="false" ht="15" hidden="false" customHeight="false" outlineLevel="0" collapsed="false">
      <c r="A25" s="9" t="s">
        <v>136</v>
      </c>
      <c r="B25" s="11" t="n">
        <v>0</v>
      </c>
      <c r="C25" s="11" t="n">
        <v>0</v>
      </c>
      <c r="D25" s="11" t="n">
        <v>1</v>
      </c>
      <c r="E25" s="11" t="n">
        <v>0</v>
      </c>
      <c r="F25" s="11" t="n">
        <v>0</v>
      </c>
      <c r="G25" s="19" t="n">
        <v>1</v>
      </c>
    </row>
    <row r="26" customFormat="false" ht="15" hidden="false" customHeight="false" outlineLevel="0" collapsed="false">
      <c r="A26" s="4" t="s">
        <v>137</v>
      </c>
      <c r="B26" s="6" t="n">
        <v>0</v>
      </c>
      <c r="C26" s="6" t="n">
        <v>1</v>
      </c>
      <c r="D26" s="6" t="n">
        <v>0</v>
      </c>
      <c r="E26" s="6" t="n">
        <v>0</v>
      </c>
      <c r="F26" s="6" t="n">
        <v>0</v>
      </c>
      <c r="G26" s="19" t="n">
        <v>1</v>
      </c>
    </row>
    <row r="27" customFormat="false" ht="15" hidden="false" customHeight="false" outlineLevel="0" collapsed="false">
      <c r="A27" s="9" t="s">
        <v>138</v>
      </c>
      <c r="B27" s="11" t="n">
        <v>0</v>
      </c>
      <c r="C27" s="11" t="n">
        <v>1</v>
      </c>
      <c r="D27" s="11" t="n">
        <v>0</v>
      </c>
      <c r="E27" s="11" t="n">
        <v>0</v>
      </c>
      <c r="F27" s="11" t="n">
        <v>0</v>
      </c>
      <c r="G27" s="19" t="n">
        <v>1</v>
      </c>
    </row>
    <row r="28" customFormat="false" ht="15" hidden="false" customHeight="false" outlineLevel="0" collapsed="false">
      <c r="A28" s="4" t="s">
        <v>139</v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19" t="n">
        <v>0</v>
      </c>
    </row>
    <row r="29" customFormat="false" ht="15" hidden="false" customHeight="false" outlineLevel="0" collapsed="false">
      <c r="A29" s="9" t="s">
        <v>140</v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9" t="n">
        <v>0</v>
      </c>
    </row>
    <row r="30" customFormat="false" ht="15" hidden="false" customHeight="false" outlineLevel="0" collapsed="false">
      <c r="A30" s="4" t="s">
        <v>141</v>
      </c>
      <c r="B30" s="6" t="n">
        <v>1</v>
      </c>
      <c r="C30" s="6" t="n">
        <v>0</v>
      </c>
      <c r="D30" s="6" t="n">
        <v>1</v>
      </c>
      <c r="E30" s="6" t="n">
        <v>1</v>
      </c>
      <c r="F30" s="6" t="n">
        <v>1</v>
      </c>
      <c r="G30" s="19" t="n">
        <v>1</v>
      </c>
    </row>
    <row r="31" customFormat="false" ht="15" hidden="false" customHeight="false" outlineLevel="0" collapsed="false">
      <c r="A31" s="9" t="s">
        <v>142</v>
      </c>
      <c r="B31" s="11" t="n">
        <v>1</v>
      </c>
      <c r="C31" s="11" t="n">
        <v>0</v>
      </c>
      <c r="D31" s="11" t="n">
        <v>0</v>
      </c>
      <c r="E31" s="11" t="n">
        <v>0</v>
      </c>
      <c r="F31" s="11" t="n">
        <v>0</v>
      </c>
      <c r="G31" s="19" t="n">
        <v>1</v>
      </c>
    </row>
    <row r="32" customFormat="false" ht="15" hidden="false" customHeight="false" outlineLevel="0" collapsed="false">
      <c r="A32" s="4" t="s">
        <v>143</v>
      </c>
      <c r="B32" s="6" t="n">
        <v>1</v>
      </c>
      <c r="C32" s="6" t="n">
        <v>0</v>
      </c>
      <c r="D32" s="6" t="n">
        <v>1</v>
      </c>
      <c r="E32" s="6" t="n">
        <v>0</v>
      </c>
      <c r="F32" s="6" t="n">
        <v>0</v>
      </c>
      <c r="G32" s="19" t="n">
        <v>1</v>
      </c>
    </row>
    <row r="33" customFormat="false" ht="15" hidden="false" customHeight="false" outlineLevel="0" collapsed="false">
      <c r="A33" s="9" t="s">
        <v>144</v>
      </c>
      <c r="B33" s="11" t="n">
        <v>1</v>
      </c>
      <c r="C33" s="11" t="n">
        <v>0</v>
      </c>
      <c r="D33" s="11" t="n">
        <v>1</v>
      </c>
      <c r="E33" s="11" t="n">
        <v>0</v>
      </c>
      <c r="F33" s="11" t="n">
        <v>0</v>
      </c>
      <c r="G33" s="19" t="n">
        <v>1</v>
      </c>
    </row>
    <row r="34" customFormat="false" ht="15" hidden="false" customHeight="false" outlineLevel="0" collapsed="false">
      <c r="A34" s="4" t="s">
        <v>145</v>
      </c>
      <c r="B34" s="6" t="n">
        <v>1</v>
      </c>
      <c r="C34" s="6" t="n">
        <v>0</v>
      </c>
      <c r="D34" s="6" t="n">
        <v>0</v>
      </c>
      <c r="E34" s="6" t="n">
        <v>0</v>
      </c>
      <c r="F34" s="6" t="n">
        <v>0</v>
      </c>
      <c r="G34" s="19" t="n">
        <v>1</v>
      </c>
    </row>
    <row r="35" customFormat="false" ht="15" hidden="false" customHeight="false" outlineLevel="0" collapsed="false">
      <c r="A35" s="9" t="s">
        <v>146</v>
      </c>
      <c r="B35" s="11" t="n">
        <v>0</v>
      </c>
      <c r="C35" s="11" t="n">
        <v>0</v>
      </c>
      <c r="D35" s="11" t="n">
        <v>1</v>
      </c>
      <c r="E35" s="11" t="n">
        <v>0</v>
      </c>
      <c r="F35" s="11" t="n">
        <v>0</v>
      </c>
      <c r="G35" s="19" t="n">
        <v>1</v>
      </c>
    </row>
    <row r="36" customFormat="false" ht="15" hidden="false" customHeight="false" outlineLevel="0" collapsed="false">
      <c r="A36" s="4" t="s">
        <v>147</v>
      </c>
      <c r="B36" s="6" t="n">
        <v>1</v>
      </c>
      <c r="C36" s="6" t="n">
        <v>0</v>
      </c>
      <c r="D36" s="6" t="n">
        <v>1</v>
      </c>
      <c r="E36" s="6" t="n">
        <v>0</v>
      </c>
      <c r="F36" s="6" t="n">
        <v>0</v>
      </c>
      <c r="G36" s="19" t="n">
        <v>1</v>
      </c>
    </row>
    <row r="37" customFormat="false" ht="15" hidden="false" customHeight="false" outlineLevel="0" collapsed="false">
      <c r="A37" s="9" t="s">
        <v>148</v>
      </c>
      <c r="B37" s="11" t="n">
        <v>1</v>
      </c>
      <c r="C37" s="11" t="n">
        <v>0</v>
      </c>
      <c r="D37" s="11" t="n">
        <v>0</v>
      </c>
      <c r="E37" s="11" t="n">
        <v>0</v>
      </c>
      <c r="F37" s="11" t="n">
        <v>0</v>
      </c>
      <c r="G37" s="19" t="n">
        <v>1</v>
      </c>
    </row>
    <row r="38" customFormat="false" ht="15" hidden="false" customHeight="false" outlineLevel="0" collapsed="false">
      <c r="A38" s="4" t="s">
        <v>149</v>
      </c>
      <c r="B38" s="6" t="n">
        <v>1</v>
      </c>
      <c r="C38" s="6" t="n">
        <v>0</v>
      </c>
      <c r="D38" s="6" t="n">
        <v>1</v>
      </c>
      <c r="E38" s="6" t="n">
        <v>0</v>
      </c>
      <c r="F38" s="6" t="n">
        <v>0</v>
      </c>
      <c r="G38" s="19" t="n">
        <v>1</v>
      </c>
    </row>
    <row r="39" customFormat="false" ht="15" hidden="false" customHeight="false" outlineLevel="0" collapsed="false">
      <c r="A39" s="9" t="s">
        <v>150</v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9" t="n">
        <v>0</v>
      </c>
    </row>
    <row r="40" customFormat="false" ht="15" hidden="false" customHeight="false" outlineLevel="0" collapsed="false">
      <c r="A40" s="4" t="s">
        <v>151</v>
      </c>
      <c r="B40" s="6" t="n">
        <v>1</v>
      </c>
      <c r="C40" s="6" t="n">
        <v>0</v>
      </c>
      <c r="D40" s="6" t="n">
        <v>0</v>
      </c>
      <c r="E40" s="6" t="n">
        <v>1</v>
      </c>
      <c r="F40" s="6" t="n">
        <v>0</v>
      </c>
      <c r="G40" s="19" t="n">
        <v>1</v>
      </c>
    </row>
    <row r="41" customFormat="false" ht="15" hidden="false" customHeight="false" outlineLevel="0" collapsed="false">
      <c r="A41" s="9" t="s">
        <v>152</v>
      </c>
      <c r="B41" s="11" t="n">
        <v>1</v>
      </c>
      <c r="C41" s="11" t="n">
        <v>0</v>
      </c>
      <c r="D41" s="11" t="n">
        <v>0</v>
      </c>
      <c r="E41" s="11" t="n">
        <v>1</v>
      </c>
      <c r="F41" s="11" t="n">
        <v>0</v>
      </c>
      <c r="G41" s="19" t="n">
        <v>1</v>
      </c>
    </row>
    <row r="42" customFormat="false" ht="15" hidden="false" customHeight="false" outlineLevel="0" collapsed="false">
      <c r="A42" s="4" t="s">
        <v>153</v>
      </c>
      <c r="B42" s="6" t="n">
        <v>0</v>
      </c>
      <c r="C42" s="6" t="n">
        <v>0</v>
      </c>
      <c r="D42" s="6" t="n">
        <v>0</v>
      </c>
      <c r="E42" s="6" t="n">
        <v>0</v>
      </c>
      <c r="F42" s="6" t="n">
        <v>0</v>
      </c>
      <c r="G42" s="19" t="n">
        <v>0</v>
      </c>
    </row>
    <row r="43" customFormat="false" ht="15" hidden="false" customHeight="false" outlineLevel="0" collapsed="false">
      <c r="A43" s="9" t="s">
        <v>154</v>
      </c>
      <c r="B43" s="11" t="n">
        <v>0</v>
      </c>
      <c r="C43" s="11" t="n">
        <v>1</v>
      </c>
      <c r="D43" s="11" t="n">
        <v>0</v>
      </c>
      <c r="E43" s="11" t="n">
        <v>0</v>
      </c>
      <c r="F43" s="11" t="n">
        <v>1</v>
      </c>
      <c r="G43" s="19" t="n">
        <v>1</v>
      </c>
    </row>
    <row r="44" customFormat="false" ht="15" hidden="false" customHeight="false" outlineLevel="0" collapsed="false">
      <c r="A44" s="4" t="s">
        <v>155</v>
      </c>
      <c r="B44" s="6" t="n">
        <v>0</v>
      </c>
      <c r="C44" s="6" t="n">
        <v>0</v>
      </c>
      <c r="D44" s="6" t="n">
        <v>0</v>
      </c>
      <c r="E44" s="6" t="n">
        <v>1</v>
      </c>
      <c r="F44" s="6" t="n">
        <v>0</v>
      </c>
      <c r="G44" s="19" t="n">
        <v>1</v>
      </c>
    </row>
    <row r="45" customFormat="false" ht="15" hidden="false" customHeight="false" outlineLevel="0" collapsed="false">
      <c r="A45" s="9" t="s">
        <v>156</v>
      </c>
      <c r="B45" s="11" t="n">
        <v>0</v>
      </c>
      <c r="C45" s="11" t="n">
        <v>0</v>
      </c>
      <c r="D45" s="11" t="n">
        <v>1</v>
      </c>
      <c r="E45" s="11" t="n">
        <v>1</v>
      </c>
      <c r="F45" s="11" t="n">
        <v>1</v>
      </c>
      <c r="G45" s="19" t="n">
        <v>1</v>
      </c>
    </row>
    <row r="46" customFormat="false" ht="15" hidden="false" customHeight="false" outlineLevel="0" collapsed="false">
      <c r="A46" s="4" t="s">
        <v>157</v>
      </c>
      <c r="B46" s="6" t="n">
        <v>0</v>
      </c>
      <c r="C46" s="6" t="n">
        <v>0</v>
      </c>
      <c r="D46" s="6" t="n">
        <v>1</v>
      </c>
      <c r="E46" s="6" t="n">
        <v>0</v>
      </c>
      <c r="F46" s="6" t="n">
        <v>0</v>
      </c>
      <c r="G46" s="19" t="n">
        <v>1</v>
      </c>
    </row>
    <row r="47" customFormat="false" ht="15" hidden="false" customHeight="false" outlineLevel="0" collapsed="false">
      <c r="A47" s="9" t="s">
        <v>158</v>
      </c>
      <c r="B47" s="11" t="n">
        <v>0</v>
      </c>
      <c r="C47" s="11" t="n">
        <v>0</v>
      </c>
      <c r="D47" s="11" t="n">
        <v>1</v>
      </c>
      <c r="E47" s="11" t="n">
        <v>1</v>
      </c>
      <c r="F47" s="11" t="n">
        <v>0</v>
      </c>
      <c r="G47" s="19" t="n">
        <v>1</v>
      </c>
    </row>
    <row r="48" customFormat="false" ht="15" hidden="false" customHeight="false" outlineLevel="0" collapsed="false">
      <c r="A48" s="4" t="s">
        <v>159</v>
      </c>
      <c r="B48" s="6" t="n">
        <v>0</v>
      </c>
      <c r="C48" s="6" t="n">
        <v>0</v>
      </c>
      <c r="D48" s="6" t="n">
        <v>1</v>
      </c>
      <c r="E48" s="6" t="n">
        <v>0</v>
      </c>
      <c r="F48" s="6" t="n">
        <v>1</v>
      </c>
      <c r="G48" s="19" t="n">
        <v>1</v>
      </c>
    </row>
    <row r="49" customFormat="false" ht="15" hidden="false" customHeight="false" outlineLevel="0" collapsed="false">
      <c r="A49" s="9" t="s">
        <v>160</v>
      </c>
      <c r="B49" s="11" t="n">
        <v>0</v>
      </c>
      <c r="C49" s="11" t="n">
        <v>0</v>
      </c>
      <c r="D49" s="11" t="n">
        <v>0</v>
      </c>
      <c r="E49" s="11" t="n">
        <v>1</v>
      </c>
      <c r="F49" s="11" t="n">
        <v>1</v>
      </c>
      <c r="G49" s="19" t="n">
        <v>1</v>
      </c>
    </row>
    <row r="50" customFormat="false" ht="15" hidden="false" customHeight="false" outlineLevel="0" collapsed="false">
      <c r="A50" s="4" t="s">
        <v>161</v>
      </c>
      <c r="B50" s="6" t="n">
        <v>0</v>
      </c>
      <c r="C50" s="6" t="n">
        <v>0</v>
      </c>
      <c r="D50" s="6" t="n">
        <v>0</v>
      </c>
      <c r="E50" s="6" t="n">
        <v>0</v>
      </c>
      <c r="F50" s="6" t="n">
        <v>1</v>
      </c>
      <c r="G50" s="19" t="n">
        <v>1</v>
      </c>
    </row>
    <row r="52" customFormat="false" ht="15" hidden="false" customHeight="false" outlineLevel="0" collapsed="false">
      <c r="A52" s="20" t="s">
        <v>68</v>
      </c>
      <c r="B52" s="21" t="n">
        <v>47</v>
      </c>
      <c r="C52" s="21" t="n">
        <v>47</v>
      </c>
      <c r="D52" s="21" t="n">
        <v>47</v>
      </c>
      <c r="E52" s="21" t="n">
        <v>47</v>
      </c>
      <c r="F52" s="21" t="n">
        <v>47</v>
      </c>
      <c r="G52" s="19" t="n">
        <v>47</v>
      </c>
    </row>
    <row r="53" customFormat="false" ht="15" hidden="false" customHeight="false" outlineLevel="0" collapsed="false">
      <c r="A53" s="20" t="s">
        <v>69</v>
      </c>
      <c r="B53" s="21" t="n">
        <f aca="false">SUM(B4:B50)</f>
        <v>19</v>
      </c>
      <c r="C53" s="21" t="n">
        <f aca="false">SUM(C4:C50)</f>
        <v>17</v>
      </c>
      <c r="D53" s="21" t="n">
        <f aca="false">SUM(D4:D50)</f>
        <v>13</v>
      </c>
      <c r="E53" s="21" t="n">
        <f aca="false">SUM(E4:E50)</f>
        <v>16</v>
      </c>
      <c r="F53" s="21" t="n">
        <f aca="false">SUM(F4:F50)</f>
        <v>18</v>
      </c>
      <c r="G53" s="19" t="n">
        <f aca="false">SUM(G4:G50)</f>
        <v>43</v>
      </c>
    </row>
    <row r="54" customFormat="false" ht="15" hidden="false" customHeight="false" outlineLevel="0" collapsed="false">
      <c r="A54" s="20" t="s">
        <v>70</v>
      </c>
      <c r="B54" s="21" t="n">
        <f aca="false">B52-B53</f>
        <v>28</v>
      </c>
      <c r="C54" s="21" t="n">
        <f aca="false">C52-C53</f>
        <v>30</v>
      </c>
      <c r="D54" s="21" t="n">
        <f aca="false">D52-D53</f>
        <v>34</v>
      </c>
      <c r="E54" s="21" t="n">
        <f aca="false">E52-E53</f>
        <v>31</v>
      </c>
      <c r="F54" s="21" t="n">
        <f aca="false">F52-F53</f>
        <v>29</v>
      </c>
      <c r="G54" s="19" t="n">
        <f aca="false">G52-G53</f>
        <v>4</v>
      </c>
    </row>
    <row r="55" customFormat="false" ht="15" hidden="false" customHeight="false" outlineLevel="0" collapsed="false">
      <c r="A55" s="20" t="s">
        <v>71</v>
      </c>
      <c r="B55" s="21" t="n">
        <v>0</v>
      </c>
      <c r="C55" s="21" t="n">
        <v>0</v>
      </c>
      <c r="D55" s="21" t="n">
        <v>0</v>
      </c>
      <c r="E55" s="21" t="n">
        <v>0</v>
      </c>
      <c r="F55" s="21" t="n">
        <v>0</v>
      </c>
      <c r="G55" s="19" t="n">
        <v>0</v>
      </c>
    </row>
    <row r="56" customFormat="false" ht="15" hidden="false" customHeight="false" outlineLevel="0" collapsed="false">
      <c r="A56" s="20" t="s">
        <v>3</v>
      </c>
      <c r="B56" s="22" t="n">
        <f aca="false">IFERROR(B53/(B53+B55),0)</f>
        <v>1</v>
      </c>
      <c r="C56" s="22" t="n">
        <f aca="false">IFERROR(C53/(C53+C55),0)</f>
        <v>1</v>
      </c>
      <c r="D56" s="22" t="n">
        <f aca="false">IFERROR(D53/(D53+D55),0)</f>
        <v>1</v>
      </c>
      <c r="E56" s="22" t="n">
        <f aca="false">IFERROR(E53/(E53+E55),0)</f>
        <v>1</v>
      </c>
      <c r="F56" s="22" t="n">
        <f aca="false">IFERROR(F53/(F53+F55),0)</f>
        <v>1</v>
      </c>
      <c r="G56" s="23" t="n">
        <f aca="false">IFERROR(G53/(G53+G55),0)</f>
        <v>1</v>
      </c>
      <c r="H56" s="24" t="n">
        <f aca="false">AVERAGE(B56:F56)</f>
        <v>1</v>
      </c>
    </row>
    <row r="57" customFormat="false" ht="15" hidden="false" customHeight="false" outlineLevel="0" collapsed="false">
      <c r="A57" s="20" t="s">
        <v>4</v>
      </c>
      <c r="B57" s="22" t="n">
        <f aca="false">IFERROR(B53/(B53+B54),0)</f>
        <v>0.404255319148936</v>
      </c>
      <c r="C57" s="22" t="n">
        <f aca="false">IFERROR(C53/(C53+C54),0)</f>
        <v>0.361702127659575</v>
      </c>
      <c r="D57" s="22" t="n">
        <f aca="false">IFERROR(D53/(D53+D54),0)</f>
        <v>0.276595744680851</v>
      </c>
      <c r="E57" s="22" t="n">
        <f aca="false">IFERROR(E53/(E53+E54),0)</f>
        <v>0.340425531914894</v>
      </c>
      <c r="F57" s="22" t="n">
        <f aca="false">IFERROR(F53/(F53+F54),0)</f>
        <v>0.382978723404255</v>
      </c>
      <c r="G57" s="23" t="n">
        <f aca="false">IFERROR(G53/(G53+G54),0)</f>
        <v>0.914893617021277</v>
      </c>
      <c r="H57" s="24" t="n">
        <f aca="false">AVERAGE(B57:F57)</f>
        <v>0.353191489361702</v>
      </c>
    </row>
    <row r="58" customFormat="false" ht="15" hidden="false" customHeight="false" outlineLevel="0" collapsed="false">
      <c r="A58" s="20" t="s">
        <v>5</v>
      </c>
      <c r="B58" s="22" t="n">
        <f aca="false">IFERROR(2*B56*B57/(B56+B57),0)</f>
        <v>0.575757575757576</v>
      </c>
      <c r="C58" s="22" t="n">
        <f aca="false">IFERROR(2*C56*C57/(C56+C57),0)</f>
        <v>0.53125</v>
      </c>
      <c r="D58" s="22" t="n">
        <f aca="false">IFERROR(2*D56*D57/(D56+D57),0)</f>
        <v>0.433333333333333</v>
      </c>
      <c r="E58" s="22" t="n">
        <f aca="false">IFERROR(2*E56*E57/(E56+E57),0)</f>
        <v>0.507936507936508</v>
      </c>
      <c r="F58" s="22" t="n">
        <f aca="false">IFERROR(2*F56*F57/(F56+F57),0)</f>
        <v>0.553846153846154</v>
      </c>
      <c r="G58" s="23" t="n">
        <f aca="false">IFERROR(2*G56*G57/(G56+G57),0)</f>
        <v>0.955555555555556</v>
      </c>
      <c r="H58" s="24" t="n">
        <f aca="false">AVERAGE(B58:F58)</f>
        <v>0.520424714174714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1"/>
  </cols>
  <sheetData>
    <row r="1" customFormat="false" ht="16.15" hidden="false" customHeight="false" outlineLevel="0" collapsed="false">
      <c r="A1" s="18" t="s">
        <v>162</v>
      </c>
    </row>
    <row r="3" customFormat="false" ht="15" hidden="false" customHeight="fals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</row>
    <row r="4" customFormat="false" ht="15" hidden="false" customHeight="false" outlineLevel="0" collapsed="false">
      <c r="A4" s="4" t="s">
        <v>163</v>
      </c>
      <c r="B4" s="6" t="n">
        <v>1</v>
      </c>
      <c r="C4" s="6" t="n">
        <v>0</v>
      </c>
      <c r="D4" s="6" t="n">
        <v>0</v>
      </c>
      <c r="E4" s="6" t="n">
        <v>0</v>
      </c>
      <c r="F4" s="6" t="n">
        <v>1</v>
      </c>
      <c r="G4" s="19" t="n">
        <v>1</v>
      </c>
    </row>
    <row r="5" customFormat="false" ht="15" hidden="false" customHeight="false" outlineLevel="0" collapsed="false">
      <c r="A5" s="9" t="s">
        <v>164</v>
      </c>
      <c r="B5" s="11" t="n">
        <v>1</v>
      </c>
      <c r="C5" s="11" t="n">
        <v>0</v>
      </c>
      <c r="D5" s="11" t="n">
        <v>0</v>
      </c>
      <c r="E5" s="11" t="n">
        <v>0</v>
      </c>
      <c r="F5" s="11" t="n">
        <v>0</v>
      </c>
      <c r="G5" s="19" t="n">
        <v>1</v>
      </c>
    </row>
    <row r="6" customFormat="false" ht="15" hidden="false" customHeight="false" outlineLevel="0" collapsed="false">
      <c r="A6" s="4" t="s">
        <v>165</v>
      </c>
      <c r="B6" s="6" t="n">
        <v>1</v>
      </c>
      <c r="C6" s="6" t="n">
        <v>0</v>
      </c>
      <c r="D6" s="6" t="n">
        <v>0</v>
      </c>
      <c r="E6" s="6" t="n">
        <v>1</v>
      </c>
      <c r="F6" s="6" t="n">
        <v>0</v>
      </c>
      <c r="G6" s="19" t="n">
        <v>1</v>
      </c>
    </row>
    <row r="7" customFormat="false" ht="15" hidden="false" customHeight="false" outlineLevel="0" collapsed="false">
      <c r="A7" s="9" t="s">
        <v>166</v>
      </c>
      <c r="B7" s="11" t="n">
        <v>0</v>
      </c>
      <c r="C7" s="11" t="n">
        <v>0</v>
      </c>
      <c r="D7" s="11" t="n">
        <v>0</v>
      </c>
      <c r="E7" s="11" t="n">
        <v>0</v>
      </c>
      <c r="F7" s="11" t="n">
        <v>0</v>
      </c>
      <c r="G7" s="19" t="n">
        <v>0</v>
      </c>
    </row>
    <row r="8" customFormat="false" ht="15" hidden="false" customHeight="false" outlineLevel="0" collapsed="false">
      <c r="A8" s="4" t="s">
        <v>167</v>
      </c>
      <c r="B8" s="6" t="n">
        <v>1</v>
      </c>
      <c r="C8" s="6" t="n">
        <v>0</v>
      </c>
      <c r="D8" s="6" t="n">
        <v>0</v>
      </c>
      <c r="E8" s="6" t="n">
        <v>0</v>
      </c>
      <c r="F8" s="6" t="n">
        <v>0</v>
      </c>
      <c r="G8" s="19" t="n">
        <v>1</v>
      </c>
    </row>
    <row r="9" customFormat="false" ht="15" hidden="false" customHeight="false" outlineLevel="0" collapsed="false">
      <c r="A9" s="9" t="s">
        <v>168</v>
      </c>
      <c r="B9" s="11" t="n">
        <v>1</v>
      </c>
      <c r="C9" s="11" t="n">
        <v>0</v>
      </c>
      <c r="D9" s="11" t="n">
        <v>0</v>
      </c>
      <c r="E9" s="11" t="n">
        <v>0</v>
      </c>
      <c r="F9" s="11" t="n">
        <v>1</v>
      </c>
      <c r="G9" s="19" t="n">
        <v>1</v>
      </c>
    </row>
    <row r="10" customFormat="false" ht="15" hidden="false" customHeight="false" outlineLevel="0" collapsed="false">
      <c r="A10" s="4" t="s">
        <v>169</v>
      </c>
      <c r="B10" s="6" t="n">
        <v>1</v>
      </c>
      <c r="C10" s="6" t="n">
        <v>0</v>
      </c>
      <c r="D10" s="6" t="n">
        <v>0</v>
      </c>
      <c r="E10" s="6" t="n">
        <v>0</v>
      </c>
      <c r="F10" s="6" t="n">
        <v>0</v>
      </c>
      <c r="G10" s="19" t="n">
        <v>1</v>
      </c>
    </row>
    <row r="11" customFormat="false" ht="15" hidden="false" customHeight="false" outlineLevel="0" collapsed="false">
      <c r="A11" s="9" t="s">
        <v>170</v>
      </c>
      <c r="B11" s="11" t="n">
        <v>1</v>
      </c>
      <c r="C11" s="11" t="n">
        <v>0</v>
      </c>
      <c r="D11" s="11" t="n">
        <v>0</v>
      </c>
      <c r="E11" s="11" t="n">
        <v>0</v>
      </c>
      <c r="F11" s="11" t="n">
        <v>1</v>
      </c>
      <c r="G11" s="19" t="n">
        <v>1</v>
      </c>
    </row>
    <row r="12" customFormat="false" ht="15" hidden="false" customHeight="false" outlineLevel="0" collapsed="false">
      <c r="A12" s="4" t="s">
        <v>171</v>
      </c>
      <c r="B12" s="6" t="n">
        <v>1</v>
      </c>
      <c r="C12" s="6" t="n">
        <v>0</v>
      </c>
      <c r="D12" s="6" t="n">
        <v>0</v>
      </c>
      <c r="E12" s="6" t="n">
        <v>0</v>
      </c>
      <c r="F12" s="6" t="n">
        <v>0</v>
      </c>
      <c r="G12" s="19" t="n">
        <v>1</v>
      </c>
    </row>
    <row r="13" customFormat="false" ht="15" hidden="false" customHeight="false" outlineLevel="0" collapsed="false">
      <c r="A13" s="9" t="s">
        <v>172</v>
      </c>
      <c r="B13" s="11" t="n">
        <v>1</v>
      </c>
      <c r="C13" s="11" t="n">
        <v>1</v>
      </c>
      <c r="D13" s="11" t="n">
        <v>0</v>
      </c>
      <c r="E13" s="11" t="n">
        <v>1</v>
      </c>
      <c r="F13" s="11" t="n">
        <v>1</v>
      </c>
      <c r="G13" s="19" t="n">
        <v>1</v>
      </c>
    </row>
    <row r="14" customFormat="false" ht="15" hidden="false" customHeight="false" outlineLevel="0" collapsed="false">
      <c r="A14" s="4" t="s">
        <v>173</v>
      </c>
      <c r="B14" s="6" t="n">
        <v>0</v>
      </c>
      <c r="C14" s="6" t="n">
        <v>1</v>
      </c>
      <c r="D14" s="6" t="n">
        <v>0</v>
      </c>
      <c r="E14" s="6" t="n">
        <v>0</v>
      </c>
      <c r="F14" s="6" t="n">
        <v>1</v>
      </c>
      <c r="G14" s="19" t="n">
        <v>1</v>
      </c>
    </row>
    <row r="15" customFormat="false" ht="15" hidden="false" customHeight="false" outlineLevel="0" collapsed="false">
      <c r="A15" s="9" t="s">
        <v>174</v>
      </c>
      <c r="B15" s="11" t="n">
        <v>0</v>
      </c>
      <c r="C15" s="11" t="n">
        <v>1</v>
      </c>
      <c r="D15" s="11" t="n">
        <v>0</v>
      </c>
      <c r="E15" s="11" t="n">
        <v>0</v>
      </c>
      <c r="F15" s="11" t="n">
        <v>0</v>
      </c>
      <c r="G15" s="19" t="n">
        <v>1</v>
      </c>
    </row>
    <row r="16" customFormat="false" ht="15" hidden="false" customHeight="false" outlineLevel="0" collapsed="false">
      <c r="A16" s="4" t="s">
        <v>175</v>
      </c>
      <c r="B16" s="6" t="n">
        <v>0</v>
      </c>
      <c r="C16" s="6" t="n">
        <v>1</v>
      </c>
      <c r="D16" s="6" t="n">
        <v>0</v>
      </c>
      <c r="E16" s="6" t="n">
        <v>0</v>
      </c>
      <c r="F16" s="6" t="n">
        <v>1</v>
      </c>
      <c r="G16" s="19" t="n">
        <v>1</v>
      </c>
    </row>
    <row r="17" customFormat="false" ht="15" hidden="false" customHeight="false" outlineLevel="0" collapsed="false">
      <c r="A17" s="9" t="s">
        <v>176</v>
      </c>
      <c r="B17" s="11" t="n">
        <v>0</v>
      </c>
      <c r="C17" s="11" t="n">
        <v>0</v>
      </c>
      <c r="D17" s="11" t="n">
        <v>1</v>
      </c>
      <c r="E17" s="11" t="n">
        <v>0</v>
      </c>
      <c r="F17" s="11" t="n">
        <v>0</v>
      </c>
      <c r="G17" s="19" t="n">
        <v>1</v>
      </c>
    </row>
    <row r="18" customFormat="false" ht="15" hidden="false" customHeight="false" outlineLevel="0" collapsed="false">
      <c r="A18" s="4" t="s">
        <v>177</v>
      </c>
      <c r="B18" s="6" t="n">
        <v>1</v>
      </c>
      <c r="C18" s="6" t="n">
        <v>1</v>
      </c>
      <c r="D18" s="6" t="n">
        <v>0</v>
      </c>
      <c r="E18" s="6" t="n">
        <v>0</v>
      </c>
      <c r="F18" s="6" t="n">
        <v>1</v>
      </c>
      <c r="G18" s="19" t="n">
        <v>1</v>
      </c>
    </row>
    <row r="19" customFormat="false" ht="15" hidden="false" customHeight="false" outlineLevel="0" collapsed="false">
      <c r="A19" s="9" t="s">
        <v>142</v>
      </c>
      <c r="B19" s="11" t="n">
        <v>0</v>
      </c>
      <c r="C19" s="11" t="n">
        <v>1</v>
      </c>
      <c r="D19" s="11" t="n">
        <v>0</v>
      </c>
      <c r="E19" s="11" t="n">
        <v>0</v>
      </c>
      <c r="F19" s="11" t="n">
        <v>0</v>
      </c>
      <c r="G19" s="19" t="n">
        <v>1</v>
      </c>
    </row>
    <row r="20" customFormat="false" ht="15" hidden="false" customHeight="false" outlineLevel="0" collapsed="false">
      <c r="A20" s="4" t="s">
        <v>178</v>
      </c>
      <c r="B20" s="6" t="n">
        <v>0</v>
      </c>
      <c r="C20" s="6" t="n">
        <v>1</v>
      </c>
      <c r="D20" s="6" t="n">
        <v>0</v>
      </c>
      <c r="E20" s="6" t="n">
        <v>0</v>
      </c>
      <c r="F20" s="6" t="n">
        <v>0</v>
      </c>
      <c r="G20" s="19" t="n">
        <v>1</v>
      </c>
    </row>
    <row r="21" customFormat="false" ht="15" hidden="false" customHeight="false" outlineLevel="0" collapsed="false">
      <c r="A21" s="9" t="s">
        <v>179</v>
      </c>
      <c r="B21" s="11" t="n">
        <v>0</v>
      </c>
      <c r="C21" s="11" t="n">
        <v>1</v>
      </c>
      <c r="D21" s="11" t="n">
        <v>0</v>
      </c>
      <c r="E21" s="11" t="n">
        <v>0</v>
      </c>
      <c r="F21" s="11" t="n">
        <v>0</v>
      </c>
      <c r="G21" s="19" t="n">
        <v>1</v>
      </c>
    </row>
    <row r="22" customFormat="false" ht="15" hidden="false" customHeight="false" outlineLevel="0" collapsed="false">
      <c r="A22" s="4" t="s">
        <v>145</v>
      </c>
      <c r="B22" s="6" t="n">
        <v>0</v>
      </c>
      <c r="C22" s="6" t="n">
        <v>1</v>
      </c>
      <c r="D22" s="6" t="n">
        <v>0</v>
      </c>
      <c r="E22" s="6" t="n">
        <v>0</v>
      </c>
      <c r="F22" s="6" t="n">
        <v>0</v>
      </c>
      <c r="G22" s="19" t="n">
        <v>1</v>
      </c>
    </row>
    <row r="23" customFormat="false" ht="15" hidden="false" customHeight="false" outlineLevel="0" collapsed="false">
      <c r="A23" s="9" t="s">
        <v>180</v>
      </c>
      <c r="B23" s="11" t="n">
        <v>0</v>
      </c>
      <c r="C23" s="11" t="n">
        <v>1</v>
      </c>
      <c r="D23" s="11" t="n">
        <v>0</v>
      </c>
      <c r="E23" s="11" t="n">
        <v>0</v>
      </c>
      <c r="F23" s="11" t="n">
        <v>0</v>
      </c>
      <c r="G23" s="19" t="n">
        <v>1</v>
      </c>
    </row>
    <row r="24" customFormat="false" ht="15" hidden="false" customHeight="false" outlineLevel="0" collapsed="false">
      <c r="A24" s="4" t="s">
        <v>181</v>
      </c>
      <c r="B24" s="6" t="n">
        <v>0</v>
      </c>
      <c r="C24" s="6" t="n">
        <v>1</v>
      </c>
      <c r="D24" s="6" t="n">
        <v>0</v>
      </c>
      <c r="E24" s="6" t="n">
        <v>0</v>
      </c>
      <c r="F24" s="6" t="n">
        <v>0</v>
      </c>
      <c r="G24" s="19" t="n">
        <v>1</v>
      </c>
    </row>
    <row r="25" customFormat="false" ht="15" hidden="false" customHeight="false" outlineLevel="0" collapsed="false">
      <c r="A25" s="9" t="s">
        <v>182</v>
      </c>
      <c r="B25" s="11" t="n">
        <v>0</v>
      </c>
      <c r="C25" s="11" t="n">
        <v>1</v>
      </c>
      <c r="D25" s="11" t="n">
        <v>0</v>
      </c>
      <c r="E25" s="11" t="n">
        <v>0</v>
      </c>
      <c r="F25" s="11" t="n">
        <v>0</v>
      </c>
      <c r="G25" s="19" t="n">
        <v>1</v>
      </c>
    </row>
    <row r="26" customFormat="false" ht="15" hidden="false" customHeight="false" outlineLevel="0" collapsed="false">
      <c r="A26" s="4" t="s">
        <v>150</v>
      </c>
      <c r="B26" s="6" t="n">
        <v>0</v>
      </c>
      <c r="C26" s="6" t="n">
        <v>1</v>
      </c>
      <c r="D26" s="6" t="n">
        <v>0</v>
      </c>
      <c r="E26" s="6" t="n">
        <v>0</v>
      </c>
      <c r="F26" s="6" t="n">
        <v>0</v>
      </c>
      <c r="G26" s="19" t="n">
        <v>1</v>
      </c>
    </row>
    <row r="27" customFormat="false" ht="15" hidden="false" customHeight="false" outlineLevel="0" collapsed="false">
      <c r="A27" s="9" t="s">
        <v>183</v>
      </c>
      <c r="B27" s="11" t="n">
        <v>1</v>
      </c>
      <c r="C27" s="11" t="n">
        <v>1</v>
      </c>
      <c r="D27" s="11" t="n">
        <v>0</v>
      </c>
      <c r="E27" s="11" t="n">
        <v>0</v>
      </c>
      <c r="F27" s="11" t="n">
        <v>1</v>
      </c>
      <c r="G27" s="19" t="n">
        <v>1</v>
      </c>
    </row>
    <row r="28" customFormat="false" ht="15" hidden="false" customHeight="false" outlineLevel="0" collapsed="false">
      <c r="A28" s="4" t="s">
        <v>184</v>
      </c>
      <c r="B28" s="6" t="n">
        <v>1</v>
      </c>
      <c r="C28" s="6" t="n">
        <v>1</v>
      </c>
      <c r="D28" s="6" t="n">
        <v>0</v>
      </c>
      <c r="E28" s="6" t="n">
        <v>0</v>
      </c>
      <c r="F28" s="6" t="n">
        <v>1</v>
      </c>
      <c r="G28" s="19" t="n">
        <v>1</v>
      </c>
    </row>
    <row r="29" customFormat="false" ht="15" hidden="false" customHeight="false" outlineLevel="0" collapsed="false">
      <c r="A29" s="9" t="s">
        <v>185</v>
      </c>
      <c r="B29" s="11" t="n">
        <v>0</v>
      </c>
      <c r="C29" s="11" t="n">
        <v>1</v>
      </c>
      <c r="D29" s="11" t="n">
        <v>0</v>
      </c>
      <c r="E29" s="11" t="n">
        <v>0</v>
      </c>
      <c r="F29" s="11" t="n">
        <v>0</v>
      </c>
      <c r="G29" s="19" t="n">
        <v>1</v>
      </c>
    </row>
    <row r="30" customFormat="false" ht="15" hidden="false" customHeight="false" outlineLevel="0" collapsed="false">
      <c r="A30" s="4" t="s">
        <v>106</v>
      </c>
      <c r="B30" s="6" t="n">
        <v>0</v>
      </c>
      <c r="C30" s="6" t="n">
        <v>0</v>
      </c>
      <c r="D30" s="6" t="n">
        <v>1</v>
      </c>
      <c r="E30" s="6" t="n">
        <v>0</v>
      </c>
      <c r="F30" s="6" t="n">
        <v>1</v>
      </c>
      <c r="G30" s="19" t="n">
        <v>1</v>
      </c>
    </row>
    <row r="31" customFormat="false" ht="15" hidden="false" customHeight="false" outlineLevel="0" collapsed="false">
      <c r="A31" s="9" t="s">
        <v>186</v>
      </c>
      <c r="B31" s="11" t="n">
        <v>0</v>
      </c>
      <c r="C31" s="11" t="n">
        <v>0</v>
      </c>
      <c r="D31" s="11" t="n">
        <v>1</v>
      </c>
      <c r="E31" s="11" t="n">
        <v>0</v>
      </c>
      <c r="F31" s="11" t="n">
        <v>0</v>
      </c>
      <c r="G31" s="19" t="n">
        <v>1</v>
      </c>
    </row>
    <row r="32" customFormat="false" ht="15" hidden="false" customHeight="false" outlineLevel="0" collapsed="false">
      <c r="A32" s="4" t="s">
        <v>187</v>
      </c>
      <c r="B32" s="6" t="n">
        <v>0</v>
      </c>
      <c r="C32" s="6" t="n">
        <v>0</v>
      </c>
      <c r="D32" s="6" t="n">
        <v>0</v>
      </c>
      <c r="E32" s="6" t="n">
        <v>0</v>
      </c>
      <c r="F32" s="6" t="n">
        <v>0</v>
      </c>
      <c r="G32" s="19" t="n">
        <v>0</v>
      </c>
    </row>
    <row r="33" customFormat="false" ht="15" hidden="false" customHeight="false" outlineLevel="0" collapsed="false">
      <c r="A33" s="9" t="s">
        <v>188</v>
      </c>
      <c r="B33" s="11" t="n">
        <v>0</v>
      </c>
      <c r="C33" s="11" t="n">
        <v>0</v>
      </c>
      <c r="D33" s="11" t="n">
        <v>1</v>
      </c>
      <c r="E33" s="11" t="n">
        <v>0</v>
      </c>
      <c r="F33" s="11" t="n">
        <v>1</v>
      </c>
      <c r="G33" s="19" t="n">
        <v>1</v>
      </c>
    </row>
    <row r="34" customFormat="false" ht="15" hidden="false" customHeight="false" outlineLevel="0" collapsed="false">
      <c r="A34" s="4" t="s">
        <v>189</v>
      </c>
      <c r="B34" s="6" t="n">
        <v>0</v>
      </c>
      <c r="C34" s="6" t="n">
        <v>0</v>
      </c>
      <c r="D34" s="6" t="n">
        <v>1</v>
      </c>
      <c r="E34" s="6" t="n">
        <v>0</v>
      </c>
      <c r="F34" s="6" t="n">
        <v>0</v>
      </c>
      <c r="G34" s="19" t="n">
        <v>1</v>
      </c>
    </row>
    <row r="35" customFormat="false" ht="15" hidden="false" customHeight="false" outlineLevel="0" collapsed="false">
      <c r="A35" s="9" t="s">
        <v>190</v>
      </c>
      <c r="B35" s="11" t="n">
        <v>0</v>
      </c>
      <c r="C35" s="11" t="n">
        <v>0</v>
      </c>
      <c r="D35" s="11" t="n">
        <v>1</v>
      </c>
      <c r="E35" s="11" t="n">
        <v>0</v>
      </c>
      <c r="F35" s="11" t="n">
        <v>0</v>
      </c>
      <c r="G35" s="19" t="n">
        <v>1</v>
      </c>
    </row>
    <row r="36" customFormat="false" ht="15" hidden="false" customHeight="false" outlineLevel="0" collapsed="false">
      <c r="A36" s="4" t="s">
        <v>191</v>
      </c>
      <c r="B36" s="6" t="n">
        <v>0</v>
      </c>
      <c r="C36" s="6" t="n">
        <v>0</v>
      </c>
      <c r="D36" s="6" t="n">
        <v>1</v>
      </c>
      <c r="E36" s="6" t="n">
        <v>0</v>
      </c>
      <c r="F36" s="6" t="n">
        <v>0</v>
      </c>
      <c r="G36" s="19" t="n">
        <v>1</v>
      </c>
    </row>
    <row r="37" customFormat="false" ht="15" hidden="false" customHeight="false" outlineLevel="0" collapsed="false">
      <c r="A37" s="9" t="s">
        <v>125</v>
      </c>
      <c r="B37" s="11" t="n">
        <v>1</v>
      </c>
      <c r="C37" s="11" t="n">
        <v>0</v>
      </c>
      <c r="D37" s="11" t="n">
        <v>1</v>
      </c>
      <c r="E37" s="11" t="n">
        <v>0</v>
      </c>
      <c r="F37" s="11" t="n">
        <v>1</v>
      </c>
      <c r="G37" s="19" t="n">
        <v>1</v>
      </c>
    </row>
    <row r="38" customFormat="false" ht="15" hidden="false" customHeight="false" outlineLevel="0" collapsed="false">
      <c r="A38" s="4" t="s">
        <v>192</v>
      </c>
      <c r="B38" s="6" t="n">
        <v>0</v>
      </c>
      <c r="C38" s="6" t="n">
        <v>0</v>
      </c>
      <c r="D38" s="6" t="n">
        <v>1</v>
      </c>
      <c r="E38" s="6" t="n">
        <v>0</v>
      </c>
      <c r="F38" s="6" t="n">
        <v>0</v>
      </c>
      <c r="G38" s="19" t="n">
        <v>1</v>
      </c>
    </row>
    <row r="39" customFormat="false" ht="15" hidden="false" customHeight="false" outlineLevel="0" collapsed="false">
      <c r="A39" s="9" t="s">
        <v>193</v>
      </c>
      <c r="B39" s="11" t="n">
        <v>0</v>
      </c>
      <c r="C39" s="11" t="n">
        <v>0</v>
      </c>
      <c r="D39" s="11" t="n">
        <v>1</v>
      </c>
      <c r="E39" s="11" t="n">
        <v>0</v>
      </c>
      <c r="F39" s="11" t="n">
        <v>0</v>
      </c>
      <c r="G39" s="19" t="n">
        <v>1</v>
      </c>
    </row>
    <row r="40" customFormat="false" ht="15" hidden="false" customHeight="false" outlineLevel="0" collapsed="false">
      <c r="A40" s="4" t="s">
        <v>194</v>
      </c>
      <c r="B40" s="6" t="n">
        <v>0</v>
      </c>
      <c r="C40" s="6" t="n">
        <v>0</v>
      </c>
      <c r="D40" s="6" t="n">
        <v>1</v>
      </c>
      <c r="E40" s="6" t="n">
        <v>0</v>
      </c>
      <c r="F40" s="6" t="n">
        <v>1</v>
      </c>
      <c r="G40" s="19" t="n">
        <v>1</v>
      </c>
    </row>
    <row r="41" customFormat="false" ht="15" hidden="false" customHeight="false" outlineLevel="0" collapsed="false">
      <c r="A41" s="9" t="s">
        <v>195</v>
      </c>
      <c r="B41" s="11" t="n">
        <v>0</v>
      </c>
      <c r="C41" s="11" t="n">
        <v>0</v>
      </c>
      <c r="D41" s="11" t="n">
        <v>1</v>
      </c>
      <c r="E41" s="11" t="n">
        <v>0</v>
      </c>
      <c r="F41" s="11" t="n">
        <v>1</v>
      </c>
      <c r="G41" s="19" t="n">
        <v>1</v>
      </c>
    </row>
    <row r="42" customFormat="false" ht="15" hidden="false" customHeight="false" outlineLevel="0" collapsed="false">
      <c r="A42" s="4" t="s">
        <v>196</v>
      </c>
      <c r="B42" s="6" t="n">
        <v>0</v>
      </c>
      <c r="C42" s="6" t="n">
        <v>0</v>
      </c>
      <c r="D42" s="6" t="n">
        <v>1</v>
      </c>
      <c r="E42" s="6" t="n">
        <v>0</v>
      </c>
      <c r="F42" s="6" t="n">
        <v>0</v>
      </c>
      <c r="G42" s="19" t="n">
        <v>1</v>
      </c>
    </row>
    <row r="43" customFormat="false" ht="15" hidden="false" customHeight="false" outlineLevel="0" collapsed="false">
      <c r="A43" s="9" t="s">
        <v>197</v>
      </c>
      <c r="B43" s="11" t="n">
        <v>0</v>
      </c>
      <c r="C43" s="11" t="n">
        <v>0</v>
      </c>
      <c r="D43" s="11" t="n">
        <v>0</v>
      </c>
      <c r="E43" s="11" t="n">
        <v>1</v>
      </c>
      <c r="F43" s="11" t="n">
        <v>1</v>
      </c>
      <c r="G43" s="19" t="n">
        <v>1</v>
      </c>
    </row>
    <row r="44" customFormat="false" ht="15" hidden="false" customHeight="false" outlineLevel="0" collapsed="false">
      <c r="A44" s="4" t="s">
        <v>198</v>
      </c>
      <c r="B44" s="6" t="n">
        <v>0</v>
      </c>
      <c r="C44" s="6" t="n">
        <v>0</v>
      </c>
      <c r="D44" s="6" t="n">
        <v>0</v>
      </c>
      <c r="E44" s="6" t="n">
        <v>1</v>
      </c>
      <c r="F44" s="6" t="n">
        <v>0</v>
      </c>
      <c r="G44" s="19" t="n">
        <v>1</v>
      </c>
    </row>
    <row r="45" customFormat="false" ht="15" hidden="false" customHeight="false" outlineLevel="0" collapsed="false">
      <c r="A45" s="9" t="s">
        <v>199</v>
      </c>
      <c r="B45" s="11" t="n">
        <v>0</v>
      </c>
      <c r="C45" s="11" t="n">
        <v>0</v>
      </c>
      <c r="D45" s="11" t="n">
        <v>0</v>
      </c>
      <c r="E45" s="11" t="n">
        <v>1</v>
      </c>
      <c r="F45" s="11" t="n">
        <v>0</v>
      </c>
      <c r="G45" s="19" t="n">
        <v>1</v>
      </c>
    </row>
    <row r="46" customFormat="false" ht="15" hidden="false" customHeight="false" outlineLevel="0" collapsed="false">
      <c r="A46" s="4" t="s">
        <v>200</v>
      </c>
      <c r="B46" s="6" t="n">
        <v>0</v>
      </c>
      <c r="C46" s="6" t="n">
        <v>0</v>
      </c>
      <c r="D46" s="6" t="n">
        <v>0</v>
      </c>
      <c r="E46" s="6" t="n">
        <v>0</v>
      </c>
      <c r="F46" s="6" t="n">
        <v>0</v>
      </c>
      <c r="G46" s="19" t="n">
        <v>0</v>
      </c>
    </row>
    <row r="47" customFormat="false" ht="15" hidden="false" customHeight="false" outlineLevel="0" collapsed="false">
      <c r="A47" s="9" t="s">
        <v>201</v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1</v>
      </c>
      <c r="G47" s="19" t="n">
        <v>1</v>
      </c>
    </row>
    <row r="48" customFormat="false" ht="15" hidden="false" customHeight="false" outlineLevel="0" collapsed="false">
      <c r="A48" s="4" t="s">
        <v>202</v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1</v>
      </c>
      <c r="G48" s="19" t="n">
        <v>1</v>
      </c>
    </row>
    <row r="49" customFormat="false" ht="15" hidden="false" customHeight="false" outlineLevel="0" collapsed="false">
      <c r="A49" s="9" t="s">
        <v>203</v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9" t="n">
        <v>0</v>
      </c>
    </row>
    <row r="50" customFormat="false" ht="15" hidden="false" customHeight="false" outlineLevel="0" collapsed="false">
      <c r="A50" s="4" t="s">
        <v>204</v>
      </c>
      <c r="B50" s="6" t="n">
        <v>0</v>
      </c>
      <c r="C50" s="6" t="n">
        <v>0</v>
      </c>
      <c r="D50" s="6" t="n">
        <v>0</v>
      </c>
      <c r="E50" s="6" t="n">
        <v>0</v>
      </c>
      <c r="F50" s="6" t="n">
        <v>0</v>
      </c>
      <c r="G50" s="19" t="n">
        <v>0</v>
      </c>
    </row>
    <row r="51" customFormat="false" ht="15" hidden="false" customHeight="false" outlineLevel="0" collapsed="false">
      <c r="A51" s="9" t="s">
        <v>205</v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1</v>
      </c>
      <c r="G51" s="19" t="n">
        <v>1</v>
      </c>
    </row>
    <row r="52" customFormat="false" ht="15" hidden="false" customHeight="false" outlineLevel="0" collapsed="false">
      <c r="A52" s="4" t="s">
        <v>206</v>
      </c>
      <c r="B52" s="6" t="n">
        <v>0</v>
      </c>
      <c r="C52" s="6" t="n">
        <v>0</v>
      </c>
      <c r="D52" s="6" t="n">
        <v>0</v>
      </c>
      <c r="E52" s="6" t="n">
        <v>0</v>
      </c>
      <c r="F52" s="6" t="n">
        <v>0</v>
      </c>
      <c r="G52" s="19" t="n">
        <v>0</v>
      </c>
    </row>
    <row r="53" customFormat="false" ht="15" hidden="false" customHeight="false" outlineLevel="0" collapsed="false">
      <c r="A53" s="9" t="s">
        <v>207</v>
      </c>
      <c r="B53" s="11" t="n">
        <v>0</v>
      </c>
      <c r="C53" s="11" t="n">
        <v>0</v>
      </c>
      <c r="D53" s="11" t="n">
        <v>0</v>
      </c>
      <c r="E53" s="11" t="n">
        <v>1</v>
      </c>
      <c r="F53" s="11" t="n">
        <v>1</v>
      </c>
      <c r="G53" s="19" t="n">
        <v>1</v>
      </c>
    </row>
    <row r="54" customFormat="false" ht="15" hidden="false" customHeight="false" outlineLevel="0" collapsed="false">
      <c r="A54" s="4" t="s">
        <v>208</v>
      </c>
      <c r="B54" s="6" t="n">
        <v>0</v>
      </c>
      <c r="C54" s="6" t="n">
        <v>0</v>
      </c>
      <c r="D54" s="6" t="n">
        <v>0</v>
      </c>
      <c r="E54" s="6" t="n">
        <v>1</v>
      </c>
      <c r="F54" s="6" t="n">
        <v>1</v>
      </c>
      <c r="G54" s="19" t="n">
        <v>1</v>
      </c>
    </row>
    <row r="55" customFormat="false" ht="15" hidden="false" customHeight="false" outlineLevel="0" collapsed="false">
      <c r="A55" s="9" t="s">
        <v>209</v>
      </c>
      <c r="B55" s="11" t="n">
        <v>0</v>
      </c>
      <c r="C55" s="11" t="n">
        <v>0</v>
      </c>
      <c r="D55" s="11" t="n">
        <v>0</v>
      </c>
      <c r="E55" s="11" t="n">
        <v>1</v>
      </c>
      <c r="F55" s="11" t="n">
        <v>1</v>
      </c>
      <c r="G55" s="19" t="n">
        <v>1</v>
      </c>
    </row>
    <row r="56" customFormat="false" ht="15" hidden="false" customHeight="false" outlineLevel="0" collapsed="false">
      <c r="A56" s="4" t="s">
        <v>210</v>
      </c>
      <c r="B56" s="6" t="n">
        <v>0</v>
      </c>
      <c r="C56" s="6" t="n">
        <v>0</v>
      </c>
      <c r="D56" s="6" t="n">
        <v>0</v>
      </c>
      <c r="E56" s="6" t="n">
        <v>1</v>
      </c>
      <c r="F56" s="6" t="n">
        <v>0</v>
      </c>
      <c r="G56" s="19" t="n">
        <v>1</v>
      </c>
    </row>
    <row r="57" customFormat="false" ht="15" hidden="false" customHeight="false" outlineLevel="0" collapsed="false">
      <c r="A57" s="9" t="s">
        <v>211</v>
      </c>
      <c r="B57" s="11" t="n">
        <v>0</v>
      </c>
      <c r="C57" s="11" t="n">
        <v>0</v>
      </c>
      <c r="D57" s="11" t="n">
        <v>0</v>
      </c>
      <c r="E57" s="11" t="n">
        <v>1</v>
      </c>
      <c r="F57" s="11" t="n">
        <v>0</v>
      </c>
      <c r="G57" s="19" t="n">
        <v>1</v>
      </c>
    </row>
    <row r="59" customFormat="false" ht="15" hidden="false" customHeight="false" outlineLevel="0" collapsed="false">
      <c r="A59" s="20" t="s">
        <v>68</v>
      </c>
      <c r="B59" s="21" t="n">
        <v>54</v>
      </c>
      <c r="C59" s="21" t="n">
        <v>54</v>
      </c>
      <c r="D59" s="21" t="n">
        <v>54</v>
      </c>
      <c r="E59" s="21" t="n">
        <v>54</v>
      </c>
      <c r="F59" s="21" t="n">
        <v>54</v>
      </c>
      <c r="G59" s="19" t="n">
        <v>54</v>
      </c>
    </row>
    <row r="60" customFormat="false" ht="15" hidden="false" customHeight="false" outlineLevel="0" collapsed="false">
      <c r="A60" s="20" t="s">
        <v>69</v>
      </c>
      <c r="B60" s="21" t="n">
        <f aca="false">SUM(B4:B57)</f>
        <v>13</v>
      </c>
      <c r="C60" s="21" t="n">
        <f aca="false">SUM(C4:C57)</f>
        <v>16</v>
      </c>
      <c r="D60" s="21" t="n">
        <f aca="false">SUM(D4:D57)</f>
        <v>13</v>
      </c>
      <c r="E60" s="21" t="n">
        <f aca="false">SUM(E4:E57)</f>
        <v>10</v>
      </c>
      <c r="F60" s="21" t="n">
        <f aca="false">SUM(F4:F57)</f>
        <v>21</v>
      </c>
      <c r="G60" s="19" t="n">
        <f aca="false">SUM(G4:G57)</f>
        <v>48</v>
      </c>
    </row>
    <row r="61" customFormat="false" ht="15" hidden="false" customHeight="false" outlineLevel="0" collapsed="false">
      <c r="A61" s="20" t="s">
        <v>70</v>
      </c>
      <c r="B61" s="21" t="n">
        <f aca="false">B59-B60</f>
        <v>41</v>
      </c>
      <c r="C61" s="21" t="n">
        <f aca="false">C59-C60</f>
        <v>38</v>
      </c>
      <c r="D61" s="21" t="n">
        <f aca="false">D59-D60</f>
        <v>41</v>
      </c>
      <c r="E61" s="21" t="n">
        <f aca="false">E59-E60</f>
        <v>44</v>
      </c>
      <c r="F61" s="21" t="n">
        <f aca="false">F59-F60</f>
        <v>33</v>
      </c>
      <c r="G61" s="19" t="n">
        <f aca="false">G59-G60</f>
        <v>6</v>
      </c>
    </row>
    <row r="62" customFormat="false" ht="15" hidden="false" customHeight="false" outlineLevel="0" collapsed="false">
      <c r="A62" s="20" t="s">
        <v>71</v>
      </c>
      <c r="B62" s="21" t="n">
        <v>0</v>
      </c>
      <c r="C62" s="21" t="n">
        <v>0</v>
      </c>
      <c r="D62" s="21" t="n">
        <v>0</v>
      </c>
      <c r="E62" s="21" t="n">
        <v>0</v>
      </c>
      <c r="F62" s="21" t="n">
        <v>0</v>
      </c>
      <c r="G62" s="19" t="n">
        <v>0</v>
      </c>
    </row>
    <row r="63" customFormat="false" ht="15" hidden="false" customHeight="false" outlineLevel="0" collapsed="false">
      <c r="A63" s="20" t="s">
        <v>3</v>
      </c>
      <c r="B63" s="22" t="n">
        <f aca="false">IFERROR(B60/(B60+B62),0)</f>
        <v>1</v>
      </c>
      <c r="C63" s="22" t="n">
        <f aca="false">IFERROR(C60/(C60+C62),0)</f>
        <v>1</v>
      </c>
      <c r="D63" s="22" t="n">
        <f aca="false">IFERROR(D60/(D60+D62),0)</f>
        <v>1</v>
      </c>
      <c r="E63" s="22" t="n">
        <f aca="false">IFERROR(E60/(E60+E62),0)</f>
        <v>1</v>
      </c>
      <c r="F63" s="22" t="n">
        <f aca="false">IFERROR(F60/(F60+F62),0)</f>
        <v>1</v>
      </c>
      <c r="G63" s="23" t="n">
        <f aca="false">IFERROR(G60/(G60+G62),0)</f>
        <v>1</v>
      </c>
      <c r="H63" s="24" t="n">
        <f aca="false">AVERAGE(B63:F63)</f>
        <v>1</v>
      </c>
    </row>
    <row r="64" customFormat="false" ht="15" hidden="false" customHeight="false" outlineLevel="0" collapsed="false">
      <c r="A64" s="20" t="s">
        <v>4</v>
      </c>
      <c r="B64" s="22" t="n">
        <f aca="false">IFERROR(B60/(B60+B61),0)</f>
        <v>0.240740740740741</v>
      </c>
      <c r="C64" s="22" t="n">
        <f aca="false">IFERROR(C60/(C60+C61),0)</f>
        <v>0.296296296296296</v>
      </c>
      <c r="D64" s="22" t="n">
        <f aca="false">IFERROR(D60/(D60+D61),0)</f>
        <v>0.240740740740741</v>
      </c>
      <c r="E64" s="22" t="n">
        <f aca="false">IFERROR(E60/(E60+E61),0)</f>
        <v>0.185185185185185</v>
      </c>
      <c r="F64" s="22" t="n">
        <f aca="false">IFERROR(F60/(F60+F61),0)</f>
        <v>0.388888888888889</v>
      </c>
      <c r="G64" s="23" t="n">
        <f aca="false">IFERROR(G60/(G60+G61),0)</f>
        <v>0.888888888888889</v>
      </c>
      <c r="H64" s="24" t="n">
        <f aca="false">AVERAGE(B64:F64)</f>
        <v>0.27037037037037</v>
      </c>
    </row>
    <row r="65" customFormat="false" ht="15" hidden="false" customHeight="false" outlineLevel="0" collapsed="false">
      <c r="A65" s="20" t="s">
        <v>5</v>
      </c>
      <c r="B65" s="22" t="n">
        <f aca="false">IFERROR(2*B63*B64/(B63+B64),0)</f>
        <v>0.388059701492537</v>
      </c>
      <c r="C65" s="22" t="n">
        <f aca="false">IFERROR(2*C63*C64/(C63+C64),0)</f>
        <v>0.457142857142857</v>
      </c>
      <c r="D65" s="22" t="n">
        <f aca="false">IFERROR(2*D63*D64/(D63+D64),0)</f>
        <v>0.388059701492537</v>
      </c>
      <c r="E65" s="22" t="n">
        <f aca="false">IFERROR(2*E63*E64/(E63+E64),0)</f>
        <v>0.3125</v>
      </c>
      <c r="F65" s="22" t="n">
        <f aca="false">IFERROR(2*F63*F64/(F63+F64),0)</f>
        <v>0.56</v>
      </c>
      <c r="G65" s="23" t="n">
        <f aca="false">IFERROR(2*G63*G64/(G63+G64),0)</f>
        <v>0.941176470588235</v>
      </c>
      <c r="H65" s="24" t="n">
        <f aca="false">AVERAGE(B65:F65)</f>
        <v>0.421152452025586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8" min="2" style="0" width="11"/>
  </cols>
  <sheetData>
    <row r="1" customFormat="false" ht="16.15" hidden="false" customHeight="false" outlineLevel="0" collapsed="false">
      <c r="A1" s="18" t="s">
        <v>212</v>
      </c>
    </row>
    <row r="3" customFormat="false" ht="15" hidden="false" customHeight="false" outlineLevel="0" collapsed="false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</row>
    <row r="4" customFormat="false" ht="15" hidden="false" customHeight="false" outlineLevel="0" collapsed="false">
      <c r="A4" s="4" t="s">
        <v>213</v>
      </c>
      <c r="B4" s="6" t="n">
        <v>1</v>
      </c>
      <c r="C4" s="6" t="n">
        <v>0</v>
      </c>
      <c r="D4" s="6" t="n">
        <v>1</v>
      </c>
      <c r="E4" s="6" t="n">
        <v>0</v>
      </c>
      <c r="F4" s="6" t="n">
        <v>1</v>
      </c>
      <c r="G4" s="19" t="n">
        <v>1</v>
      </c>
    </row>
    <row r="5" customFormat="false" ht="15" hidden="false" customHeight="false" outlineLevel="0" collapsed="false">
      <c r="A5" s="9" t="s">
        <v>214</v>
      </c>
      <c r="B5" s="11" t="n">
        <v>1</v>
      </c>
      <c r="C5" s="11" t="n">
        <v>0</v>
      </c>
      <c r="D5" s="11" t="n">
        <v>1</v>
      </c>
      <c r="E5" s="11" t="n">
        <v>1</v>
      </c>
      <c r="F5" s="11" t="n">
        <v>1</v>
      </c>
      <c r="G5" s="19" t="n">
        <v>1</v>
      </c>
    </row>
    <row r="6" customFormat="false" ht="15" hidden="false" customHeight="false" outlineLevel="0" collapsed="false">
      <c r="A6" s="4" t="s">
        <v>215</v>
      </c>
      <c r="B6" s="6" t="n">
        <v>1</v>
      </c>
      <c r="C6" s="6" t="n">
        <v>0</v>
      </c>
      <c r="D6" s="6" t="n">
        <v>1</v>
      </c>
      <c r="E6" s="6" t="n">
        <v>0</v>
      </c>
      <c r="F6" s="6" t="n">
        <v>0</v>
      </c>
      <c r="G6" s="19" t="n">
        <v>1</v>
      </c>
    </row>
    <row r="7" customFormat="false" ht="15" hidden="false" customHeight="false" outlineLevel="0" collapsed="false">
      <c r="A7" s="9" t="s">
        <v>216</v>
      </c>
      <c r="B7" s="11" t="n">
        <v>1</v>
      </c>
      <c r="C7" s="11" t="n">
        <v>0</v>
      </c>
      <c r="D7" s="11" t="n">
        <v>1</v>
      </c>
      <c r="E7" s="11" t="n">
        <v>0</v>
      </c>
      <c r="F7" s="11" t="n">
        <v>1</v>
      </c>
      <c r="G7" s="19" t="n">
        <v>1</v>
      </c>
    </row>
    <row r="8" customFormat="false" ht="15" hidden="false" customHeight="false" outlineLevel="0" collapsed="false">
      <c r="A8" s="4" t="s">
        <v>217</v>
      </c>
      <c r="B8" s="6" t="n">
        <v>1</v>
      </c>
      <c r="C8" s="6" t="n">
        <v>0</v>
      </c>
      <c r="D8" s="6" t="n">
        <v>0</v>
      </c>
      <c r="E8" s="6" t="n">
        <v>0</v>
      </c>
      <c r="F8" s="6" t="n">
        <v>0</v>
      </c>
      <c r="G8" s="19" t="n">
        <v>1</v>
      </c>
    </row>
    <row r="9" customFormat="false" ht="15" hidden="false" customHeight="false" outlineLevel="0" collapsed="false">
      <c r="A9" s="9" t="s">
        <v>218</v>
      </c>
      <c r="B9" s="11" t="n">
        <v>1</v>
      </c>
      <c r="C9" s="11" t="n">
        <v>0</v>
      </c>
      <c r="D9" s="11" t="n">
        <v>1</v>
      </c>
      <c r="E9" s="11" t="n">
        <v>0</v>
      </c>
      <c r="F9" s="11" t="n">
        <v>1</v>
      </c>
      <c r="G9" s="19" t="n">
        <v>1</v>
      </c>
    </row>
    <row r="10" customFormat="false" ht="15" hidden="false" customHeight="false" outlineLevel="0" collapsed="false">
      <c r="A10" s="4" t="s">
        <v>219</v>
      </c>
      <c r="B10" s="6" t="n">
        <v>1</v>
      </c>
      <c r="C10" s="6" t="n">
        <v>0</v>
      </c>
      <c r="D10" s="6" t="n">
        <v>0</v>
      </c>
      <c r="E10" s="6" t="n">
        <v>0</v>
      </c>
      <c r="F10" s="6" t="n">
        <v>0</v>
      </c>
      <c r="G10" s="19" t="n">
        <v>1</v>
      </c>
    </row>
    <row r="11" customFormat="false" ht="15" hidden="false" customHeight="false" outlineLevel="0" collapsed="false">
      <c r="A11" s="9" t="s">
        <v>220</v>
      </c>
      <c r="B11" s="11" t="n">
        <v>1</v>
      </c>
      <c r="C11" s="11" t="n">
        <v>0</v>
      </c>
      <c r="D11" s="11" t="n">
        <v>0</v>
      </c>
      <c r="E11" s="11" t="n">
        <v>0</v>
      </c>
      <c r="F11" s="11" t="n">
        <v>0</v>
      </c>
      <c r="G11" s="19" t="n">
        <v>1</v>
      </c>
    </row>
    <row r="12" customFormat="false" ht="15" hidden="false" customHeight="false" outlineLevel="0" collapsed="false">
      <c r="A12" s="4" t="s">
        <v>221</v>
      </c>
      <c r="B12" s="6" t="n">
        <v>1</v>
      </c>
      <c r="C12" s="6" t="n">
        <v>0</v>
      </c>
      <c r="D12" s="6" t="n">
        <v>1</v>
      </c>
      <c r="E12" s="6" t="n">
        <v>0</v>
      </c>
      <c r="F12" s="6" t="n">
        <v>1</v>
      </c>
      <c r="G12" s="19" t="n">
        <v>1</v>
      </c>
    </row>
    <row r="13" customFormat="false" ht="15" hidden="false" customHeight="false" outlineLevel="0" collapsed="false">
      <c r="A13" s="9" t="s">
        <v>222</v>
      </c>
      <c r="B13" s="11" t="n">
        <v>1</v>
      </c>
      <c r="C13" s="11" t="n">
        <v>0</v>
      </c>
      <c r="D13" s="11" t="n">
        <v>0</v>
      </c>
      <c r="E13" s="11" t="n">
        <v>0</v>
      </c>
      <c r="F13" s="11" t="n">
        <v>1</v>
      </c>
      <c r="G13" s="19" t="n">
        <v>1</v>
      </c>
    </row>
    <row r="14" customFormat="false" ht="15" hidden="false" customHeight="false" outlineLevel="0" collapsed="false">
      <c r="A14" s="4" t="s">
        <v>223</v>
      </c>
      <c r="B14" s="6" t="n">
        <v>1</v>
      </c>
      <c r="C14" s="6" t="n">
        <v>0</v>
      </c>
      <c r="D14" s="6" t="n">
        <v>0</v>
      </c>
      <c r="E14" s="6" t="n">
        <v>0</v>
      </c>
      <c r="F14" s="6" t="n">
        <v>0</v>
      </c>
      <c r="G14" s="19" t="n">
        <v>1</v>
      </c>
    </row>
    <row r="15" customFormat="false" ht="15" hidden="false" customHeight="false" outlineLevel="0" collapsed="false">
      <c r="A15" s="9" t="s">
        <v>224</v>
      </c>
      <c r="B15" s="11" t="n">
        <v>1</v>
      </c>
      <c r="C15" s="11" t="n">
        <v>0</v>
      </c>
      <c r="D15" s="11" t="n">
        <v>0</v>
      </c>
      <c r="E15" s="11" t="n">
        <v>0</v>
      </c>
      <c r="F15" s="11" t="n">
        <v>0</v>
      </c>
      <c r="G15" s="19" t="n">
        <v>1</v>
      </c>
    </row>
    <row r="16" customFormat="false" ht="15" hidden="false" customHeight="false" outlineLevel="0" collapsed="false">
      <c r="A16" s="4" t="s">
        <v>225</v>
      </c>
      <c r="B16" s="6" t="n">
        <v>1</v>
      </c>
      <c r="C16" s="6" t="n">
        <v>0</v>
      </c>
      <c r="D16" s="6" t="n">
        <v>0</v>
      </c>
      <c r="E16" s="6" t="n">
        <v>0</v>
      </c>
      <c r="F16" s="6" t="n">
        <v>0</v>
      </c>
      <c r="G16" s="19" t="n">
        <v>1</v>
      </c>
    </row>
    <row r="17" customFormat="false" ht="15" hidden="false" customHeight="false" outlineLevel="0" collapsed="false">
      <c r="A17" s="9" t="s">
        <v>226</v>
      </c>
      <c r="B17" s="11" t="n">
        <v>1</v>
      </c>
      <c r="C17" s="11" t="n">
        <v>0</v>
      </c>
      <c r="D17" s="11" t="n">
        <v>0</v>
      </c>
      <c r="E17" s="11" t="n">
        <v>0</v>
      </c>
      <c r="F17" s="11" t="n">
        <v>1</v>
      </c>
      <c r="G17" s="19" t="n">
        <v>1</v>
      </c>
    </row>
    <row r="18" customFormat="false" ht="15" hidden="false" customHeight="false" outlineLevel="0" collapsed="false">
      <c r="A18" s="4" t="s">
        <v>227</v>
      </c>
      <c r="B18" s="6" t="n">
        <v>0</v>
      </c>
      <c r="C18" s="6" t="n">
        <v>1</v>
      </c>
      <c r="D18" s="6" t="n">
        <v>0</v>
      </c>
      <c r="E18" s="6" t="n">
        <v>0</v>
      </c>
      <c r="F18" s="6" t="n">
        <v>1</v>
      </c>
      <c r="G18" s="19" t="n">
        <v>1</v>
      </c>
    </row>
    <row r="19" customFormat="false" ht="15" hidden="false" customHeight="false" outlineLevel="0" collapsed="false">
      <c r="A19" s="9" t="s">
        <v>228</v>
      </c>
      <c r="B19" s="11" t="n">
        <v>0</v>
      </c>
      <c r="C19" s="11" t="n">
        <v>1</v>
      </c>
      <c r="D19" s="11" t="n">
        <v>0</v>
      </c>
      <c r="E19" s="11" t="n">
        <v>0</v>
      </c>
      <c r="F19" s="11" t="n">
        <v>1</v>
      </c>
      <c r="G19" s="19" t="n">
        <v>1</v>
      </c>
    </row>
    <row r="20" customFormat="false" ht="15" hidden="false" customHeight="false" outlineLevel="0" collapsed="false">
      <c r="A20" s="4" t="s">
        <v>229</v>
      </c>
      <c r="B20" s="6" t="n">
        <v>0</v>
      </c>
      <c r="C20" s="6" t="n">
        <v>1</v>
      </c>
      <c r="D20" s="6" t="n">
        <v>0</v>
      </c>
      <c r="E20" s="6" t="n">
        <v>0</v>
      </c>
      <c r="F20" s="6" t="n">
        <v>0</v>
      </c>
      <c r="G20" s="19" t="n">
        <v>1</v>
      </c>
    </row>
    <row r="21" customFormat="false" ht="15" hidden="false" customHeight="false" outlineLevel="0" collapsed="false">
      <c r="A21" s="9" t="s">
        <v>230</v>
      </c>
      <c r="B21" s="11" t="n">
        <v>0</v>
      </c>
      <c r="C21" s="11" t="n">
        <v>1</v>
      </c>
      <c r="D21" s="11" t="n">
        <v>0</v>
      </c>
      <c r="E21" s="11" t="n">
        <v>0</v>
      </c>
      <c r="F21" s="11" t="n">
        <v>1</v>
      </c>
      <c r="G21" s="19" t="n">
        <v>1</v>
      </c>
    </row>
    <row r="22" customFormat="false" ht="15" hidden="false" customHeight="false" outlineLevel="0" collapsed="false">
      <c r="A22" s="4" t="s">
        <v>231</v>
      </c>
      <c r="B22" s="6" t="n">
        <v>0</v>
      </c>
      <c r="C22" s="6" t="n">
        <v>1</v>
      </c>
      <c r="D22" s="6" t="n">
        <v>0</v>
      </c>
      <c r="E22" s="6" t="n">
        <v>0</v>
      </c>
      <c r="F22" s="6" t="n">
        <v>0</v>
      </c>
      <c r="G22" s="19" t="n">
        <v>1</v>
      </c>
    </row>
    <row r="23" customFormat="false" ht="15" hidden="false" customHeight="false" outlineLevel="0" collapsed="false">
      <c r="A23" s="9" t="s">
        <v>232</v>
      </c>
      <c r="B23" s="11" t="n">
        <v>0</v>
      </c>
      <c r="C23" s="11" t="n">
        <v>1</v>
      </c>
      <c r="D23" s="11" t="n">
        <v>0</v>
      </c>
      <c r="E23" s="11" t="n">
        <v>0</v>
      </c>
      <c r="F23" s="11" t="n">
        <v>0</v>
      </c>
      <c r="G23" s="19" t="n">
        <v>1</v>
      </c>
    </row>
    <row r="24" customFormat="false" ht="15" hidden="false" customHeight="false" outlineLevel="0" collapsed="false">
      <c r="A24" s="4" t="s">
        <v>233</v>
      </c>
      <c r="B24" s="6" t="n">
        <v>0</v>
      </c>
      <c r="C24" s="6" t="n">
        <v>1</v>
      </c>
      <c r="D24" s="6" t="n">
        <v>0</v>
      </c>
      <c r="E24" s="6" t="n">
        <v>0</v>
      </c>
      <c r="F24" s="6" t="n">
        <v>1</v>
      </c>
      <c r="G24" s="19" t="n">
        <v>1</v>
      </c>
    </row>
    <row r="25" customFormat="false" ht="15" hidden="false" customHeight="false" outlineLevel="0" collapsed="false">
      <c r="A25" s="9" t="s">
        <v>234</v>
      </c>
      <c r="B25" s="11" t="n">
        <v>0</v>
      </c>
      <c r="C25" s="11" t="n">
        <v>1</v>
      </c>
      <c r="D25" s="11" t="n">
        <v>0</v>
      </c>
      <c r="E25" s="11" t="n">
        <v>0</v>
      </c>
      <c r="F25" s="11" t="n">
        <v>0</v>
      </c>
      <c r="G25" s="19" t="n">
        <v>1</v>
      </c>
    </row>
    <row r="26" customFormat="false" ht="15" hidden="false" customHeight="false" outlineLevel="0" collapsed="false">
      <c r="A26" s="4" t="s">
        <v>235</v>
      </c>
      <c r="B26" s="6" t="n">
        <v>0</v>
      </c>
      <c r="C26" s="6" t="n">
        <v>0</v>
      </c>
      <c r="D26" s="6" t="n">
        <v>1</v>
      </c>
      <c r="E26" s="6" t="n">
        <v>0</v>
      </c>
      <c r="F26" s="6" t="n">
        <v>1</v>
      </c>
      <c r="G26" s="19" t="n">
        <v>1</v>
      </c>
    </row>
    <row r="27" customFormat="false" ht="15" hidden="false" customHeight="false" outlineLevel="0" collapsed="false">
      <c r="A27" s="9" t="s">
        <v>142</v>
      </c>
      <c r="B27" s="11" t="n">
        <v>0</v>
      </c>
      <c r="C27" s="11" t="n">
        <v>0</v>
      </c>
      <c r="D27" s="11" t="n">
        <v>1</v>
      </c>
      <c r="E27" s="11" t="n">
        <v>0</v>
      </c>
      <c r="F27" s="11" t="n">
        <v>1</v>
      </c>
      <c r="G27" s="19" t="n">
        <v>1</v>
      </c>
    </row>
    <row r="28" customFormat="false" ht="15" hidden="false" customHeight="false" outlineLevel="0" collapsed="false">
      <c r="A28" s="4" t="s">
        <v>178</v>
      </c>
      <c r="B28" s="6" t="n">
        <v>0</v>
      </c>
      <c r="C28" s="6" t="n">
        <v>0</v>
      </c>
      <c r="D28" s="6" t="n">
        <v>1</v>
      </c>
      <c r="E28" s="6" t="n">
        <v>0</v>
      </c>
      <c r="F28" s="6" t="n">
        <v>0</v>
      </c>
      <c r="G28" s="19" t="n">
        <v>1</v>
      </c>
    </row>
    <row r="29" customFormat="false" ht="15" hidden="false" customHeight="false" outlineLevel="0" collapsed="false">
      <c r="A29" s="9" t="s">
        <v>179</v>
      </c>
      <c r="B29" s="11" t="n">
        <v>0</v>
      </c>
      <c r="C29" s="11" t="n">
        <v>0</v>
      </c>
      <c r="D29" s="11" t="n">
        <v>1</v>
      </c>
      <c r="E29" s="11" t="n">
        <v>0</v>
      </c>
      <c r="F29" s="11" t="n">
        <v>1</v>
      </c>
      <c r="G29" s="19" t="n">
        <v>1</v>
      </c>
    </row>
    <row r="30" customFormat="false" ht="15" hidden="false" customHeight="false" outlineLevel="0" collapsed="false">
      <c r="A30" s="4" t="s">
        <v>145</v>
      </c>
      <c r="B30" s="6" t="n">
        <v>0</v>
      </c>
      <c r="C30" s="6" t="n">
        <v>0</v>
      </c>
      <c r="D30" s="6" t="n">
        <v>1</v>
      </c>
      <c r="E30" s="6" t="n">
        <v>0</v>
      </c>
      <c r="F30" s="6" t="n">
        <v>1</v>
      </c>
      <c r="G30" s="19" t="n">
        <v>1</v>
      </c>
    </row>
    <row r="31" customFormat="false" ht="15" hidden="false" customHeight="false" outlineLevel="0" collapsed="false">
      <c r="A31" s="9" t="s">
        <v>236</v>
      </c>
      <c r="B31" s="11" t="n">
        <v>0</v>
      </c>
      <c r="C31" s="11" t="n">
        <v>0</v>
      </c>
      <c r="D31" s="11" t="n">
        <v>1</v>
      </c>
      <c r="E31" s="11" t="n">
        <v>0</v>
      </c>
      <c r="F31" s="11" t="n">
        <v>1</v>
      </c>
      <c r="G31" s="19" t="n">
        <v>1</v>
      </c>
    </row>
    <row r="32" customFormat="false" ht="15" hidden="false" customHeight="false" outlineLevel="0" collapsed="false">
      <c r="A32" s="4" t="s">
        <v>146</v>
      </c>
      <c r="B32" s="6" t="n">
        <v>0</v>
      </c>
      <c r="C32" s="6" t="n">
        <v>0</v>
      </c>
      <c r="D32" s="6" t="n">
        <v>1</v>
      </c>
      <c r="E32" s="6" t="n">
        <v>0</v>
      </c>
      <c r="F32" s="6" t="n">
        <v>1</v>
      </c>
      <c r="G32" s="19" t="n">
        <v>1</v>
      </c>
    </row>
    <row r="33" customFormat="false" ht="15" hidden="false" customHeight="false" outlineLevel="0" collapsed="false">
      <c r="A33" s="9" t="s">
        <v>147</v>
      </c>
      <c r="B33" s="11" t="n">
        <v>0</v>
      </c>
      <c r="C33" s="11" t="n">
        <v>0</v>
      </c>
      <c r="D33" s="11" t="n">
        <v>1</v>
      </c>
      <c r="E33" s="11" t="n">
        <v>0</v>
      </c>
      <c r="F33" s="11" t="n">
        <v>1</v>
      </c>
      <c r="G33" s="19" t="n">
        <v>1</v>
      </c>
    </row>
    <row r="34" customFormat="false" ht="15" hidden="false" customHeight="false" outlineLevel="0" collapsed="false">
      <c r="A34" s="4" t="s">
        <v>182</v>
      </c>
      <c r="B34" s="6" t="n">
        <v>0</v>
      </c>
      <c r="C34" s="6" t="n">
        <v>0</v>
      </c>
      <c r="D34" s="6" t="n">
        <v>1</v>
      </c>
      <c r="E34" s="6" t="n">
        <v>0</v>
      </c>
      <c r="F34" s="6" t="n">
        <v>1</v>
      </c>
      <c r="G34" s="19" t="n">
        <v>1</v>
      </c>
    </row>
    <row r="35" customFormat="false" ht="15" hidden="false" customHeight="false" outlineLevel="0" collapsed="false">
      <c r="A35" s="9" t="s">
        <v>237</v>
      </c>
      <c r="B35" s="11" t="n">
        <v>0</v>
      </c>
      <c r="C35" s="11" t="n">
        <v>0</v>
      </c>
      <c r="D35" s="11" t="n">
        <v>1</v>
      </c>
      <c r="E35" s="11" t="n">
        <v>0</v>
      </c>
      <c r="F35" s="11" t="n">
        <v>1</v>
      </c>
      <c r="G35" s="19" t="n">
        <v>1</v>
      </c>
    </row>
    <row r="36" customFormat="false" ht="15" hidden="false" customHeight="false" outlineLevel="0" collapsed="false">
      <c r="A36" s="4" t="s">
        <v>238</v>
      </c>
      <c r="B36" s="6" t="n">
        <v>0</v>
      </c>
      <c r="C36" s="6" t="n">
        <v>0</v>
      </c>
      <c r="D36" s="6" t="n">
        <v>1</v>
      </c>
      <c r="E36" s="6" t="n">
        <v>0</v>
      </c>
      <c r="F36" s="6" t="n">
        <v>1</v>
      </c>
      <c r="G36" s="19" t="n">
        <v>1</v>
      </c>
    </row>
    <row r="37" customFormat="false" ht="15" hidden="false" customHeight="false" outlineLevel="0" collapsed="false">
      <c r="A37" s="9" t="s">
        <v>239</v>
      </c>
      <c r="B37" s="11" t="n">
        <v>0</v>
      </c>
      <c r="C37" s="11" t="n">
        <v>0</v>
      </c>
      <c r="D37" s="11" t="n">
        <v>1</v>
      </c>
      <c r="E37" s="11" t="n">
        <v>0</v>
      </c>
      <c r="F37" s="11" t="n">
        <v>0</v>
      </c>
      <c r="G37" s="19" t="n">
        <v>1</v>
      </c>
    </row>
    <row r="38" customFormat="false" ht="15" hidden="false" customHeight="false" outlineLevel="0" collapsed="false">
      <c r="A38" s="4" t="s">
        <v>240</v>
      </c>
      <c r="B38" s="6" t="n">
        <v>0</v>
      </c>
      <c r="C38" s="6" t="n">
        <v>0</v>
      </c>
      <c r="D38" s="6" t="n">
        <v>1</v>
      </c>
      <c r="E38" s="6" t="n">
        <v>0</v>
      </c>
      <c r="F38" s="6" t="n">
        <v>1</v>
      </c>
      <c r="G38" s="19" t="n">
        <v>1</v>
      </c>
    </row>
    <row r="39" customFormat="false" ht="15" hidden="false" customHeight="false" outlineLevel="0" collapsed="false">
      <c r="A39" s="9" t="s">
        <v>241</v>
      </c>
      <c r="B39" s="11" t="n">
        <v>0</v>
      </c>
      <c r="C39" s="11" t="n">
        <v>0</v>
      </c>
      <c r="D39" s="11" t="n">
        <v>1</v>
      </c>
      <c r="E39" s="11" t="n">
        <v>0</v>
      </c>
      <c r="F39" s="11" t="n">
        <v>0</v>
      </c>
      <c r="G39" s="19" t="n">
        <v>1</v>
      </c>
    </row>
    <row r="40" customFormat="false" ht="15" hidden="false" customHeight="false" outlineLevel="0" collapsed="false">
      <c r="A40" s="4" t="s">
        <v>242</v>
      </c>
      <c r="B40" s="6" t="n">
        <v>0</v>
      </c>
      <c r="C40" s="6" t="n">
        <v>0</v>
      </c>
      <c r="D40" s="6" t="n">
        <v>0</v>
      </c>
      <c r="E40" s="6" t="n">
        <v>1</v>
      </c>
      <c r="F40" s="6" t="n">
        <v>0</v>
      </c>
      <c r="G40" s="19" t="n">
        <v>1</v>
      </c>
    </row>
    <row r="41" customFormat="false" ht="15" hidden="false" customHeight="false" outlineLevel="0" collapsed="false">
      <c r="A41" s="9" t="s">
        <v>243</v>
      </c>
      <c r="B41" s="11" t="n">
        <v>0</v>
      </c>
      <c r="C41" s="11" t="n">
        <v>0</v>
      </c>
      <c r="D41" s="11" t="n">
        <v>0</v>
      </c>
      <c r="E41" s="11" t="n">
        <v>1</v>
      </c>
      <c r="F41" s="11" t="n">
        <v>0</v>
      </c>
      <c r="G41" s="19" t="n">
        <v>1</v>
      </c>
    </row>
    <row r="42" customFormat="false" ht="15" hidden="false" customHeight="false" outlineLevel="0" collapsed="false">
      <c r="A42" s="4" t="s">
        <v>244</v>
      </c>
      <c r="B42" s="6" t="n">
        <v>0</v>
      </c>
      <c r="C42" s="6" t="n">
        <v>0</v>
      </c>
      <c r="D42" s="6" t="n">
        <v>0</v>
      </c>
      <c r="E42" s="6" t="n">
        <v>1</v>
      </c>
      <c r="F42" s="6" t="n">
        <v>1</v>
      </c>
      <c r="G42" s="19" t="n">
        <v>1</v>
      </c>
    </row>
    <row r="43" customFormat="false" ht="15" hidden="false" customHeight="false" outlineLevel="0" collapsed="false">
      <c r="A43" s="9" t="s">
        <v>245</v>
      </c>
      <c r="B43" s="11" t="n">
        <v>0</v>
      </c>
      <c r="C43" s="11" t="n">
        <v>0</v>
      </c>
      <c r="D43" s="11" t="n">
        <v>0</v>
      </c>
      <c r="E43" s="11" t="n">
        <v>1</v>
      </c>
      <c r="F43" s="11" t="n">
        <v>0</v>
      </c>
      <c r="G43" s="19" t="n">
        <v>1</v>
      </c>
    </row>
    <row r="44" customFormat="false" ht="15" hidden="false" customHeight="false" outlineLevel="0" collapsed="false">
      <c r="A44" s="4" t="s">
        <v>246</v>
      </c>
      <c r="B44" s="6" t="n">
        <v>0</v>
      </c>
      <c r="C44" s="6" t="n">
        <v>0</v>
      </c>
      <c r="D44" s="6" t="n">
        <v>0</v>
      </c>
      <c r="E44" s="6" t="n">
        <v>1</v>
      </c>
      <c r="F44" s="6" t="n">
        <v>1</v>
      </c>
      <c r="G44" s="19" t="n">
        <v>1</v>
      </c>
    </row>
    <row r="45" customFormat="false" ht="15" hidden="false" customHeight="false" outlineLevel="0" collapsed="false">
      <c r="A45" s="9" t="s">
        <v>247</v>
      </c>
      <c r="B45" s="11" t="n">
        <v>0</v>
      </c>
      <c r="C45" s="11" t="n">
        <v>0</v>
      </c>
      <c r="D45" s="11" t="n">
        <v>0</v>
      </c>
      <c r="E45" s="11" t="n">
        <v>1</v>
      </c>
      <c r="F45" s="11" t="n">
        <v>1</v>
      </c>
      <c r="G45" s="19" t="n">
        <v>1</v>
      </c>
    </row>
    <row r="46" customFormat="false" ht="15" hidden="false" customHeight="false" outlineLevel="0" collapsed="false">
      <c r="A46" s="4" t="s">
        <v>248</v>
      </c>
      <c r="B46" s="6" t="n">
        <v>0</v>
      </c>
      <c r="C46" s="6" t="n">
        <v>0</v>
      </c>
      <c r="D46" s="6" t="n">
        <v>0</v>
      </c>
      <c r="E46" s="6" t="n">
        <v>1</v>
      </c>
      <c r="F46" s="6" t="n">
        <v>0</v>
      </c>
      <c r="G46" s="19" t="n">
        <v>1</v>
      </c>
    </row>
    <row r="48" customFormat="false" ht="15" hidden="false" customHeight="false" outlineLevel="0" collapsed="false">
      <c r="A48" s="20" t="s">
        <v>68</v>
      </c>
      <c r="B48" s="21" t="n">
        <v>43</v>
      </c>
      <c r="C48" s="21" t="n">
        <v>43</v>
      </c>
      <c r="D48" s="21" t="n">
        <v>43</v>
      </c>
      <c r="E48" s="21" t="n">
        <v>43</v>
      </c>
      <c r="F48" s="21" t="n">
        <v>43</v>
      </c>
      <c r="G48" s="19" t="n">
        <v>43</v>
      </c>
    </row>
    <row r="49" customFormat="false" ht="15" hidden="false" customHeight="false" outlineLevel="0" collapsed="false">
      <c r="A49" s="20" t="s">
        <v>69</v>
      </c>
      <c r="B49" s="21" t="n">
        <f aca="false">SUM(B4:B46)</f>
        <v>14</v>
      </c>
      <c r="C49" s="21" t="n">
        <f aca="false">SUM(C4:C46)</f>
        <v>8</v>
      </c>
      <c r="D49" s="21" t="n">
        <f aca="false">SUM(D4:D46)</f>
        <v>20</v>
      </c>
      <c r="E49" s="21" t="n">
        <f aca="false">SUM(E4:E46)</f>
        <v>8</v>
      </c>
      <c r="F49" s="21" t="n">
        <f aca="false">SUM(F4:F46)</f>
        <v>25</v>
      </c>
      <c r="G49" s="19" t="n">
        <f aca="false">SUM(G4:G46)</f>
        <v>43</v>
      </c>
    </row>
    <row r="50" customFormat="false" ht="15" hidden="false" customHeight="false" outlineLevel="0" collapsed="false">
      <c r="A50" s="20" t="s">
        <v>70</v>
      </c>
      <c r="B50" s="21" t="n">
        <f aca="false">B48-B49</f>
        <v>29</v>
      </c>
      <c r="C50" s="21" t="n">
        <f aca="false">C48-C49</f>
        <v>35</v>
      </c>
      <c r="D50" s="21" t="n">
        <f aca="false">D48-D49</f>
        <v>23</v>
      </c>
      <c r="E50" s="21" t="n">
        <f aca="false">E48-E49</f>
        <v>35</v>
      </c>
      <c r="F50" s="21" t="n">
        <f aca="false">F48-F49</f>
        <v>18</v>
      </c>
      <c r="G50" s="19" t="n">
        <f aca="false">G48-G49</f>
        <v>0</v>
      </c>
    </row>
    <row r="51" customFormat="false" ht="15" hidden="false" customHeight="false" outlineLevel="0" collapsed="false">
      <c r="A51" s="20" t="s">
        <v>71</v>
      </c>
      <c r="B51" s="21" t="n">
        <v>0</v>
      </c>
      <c r="C51" s="21" t="n">
        <v>0</v>
      </c>
      <c r="D51" s="21" t="n">
        <v>0</v>
      </c>
      <c r="E51" s="21" t="n">
        <v>0</v>
      </c>
      <c r="F51" s="21" t="n">
        <v>0</v>
      </c>
      <c r="G51" s="19" t="n">
        <v>0</v>
      </c>
    </row>
    <row r="52" customFormat="false" ht="15" hidden="false" customHeight="false" outlineLevel="0" collapsed="false">
      <c r="A52" s="20" t="s">
        <v>3</v>
      </c>
      <c r="B52" s="22" t="n">
        <f aca="false">IFERROR(B49/(B49+B51),0)</f>
        <v>1</v>
      </c>
      <c r="C52" s="22" t="n">
        <f aca="false">IFERROR(C49/(C49+C51),0)</f>
        <v>1</v>
      </c>
      <c r="D52" s="22" t="n">
        <f aca="false">IFERROR(D49/(D49+D51),0)</f>
        <v>1</v>
      </c>
      <c r="E52" s="22" t="n">
        <f aca="false">IFERROR(E49/(E49+E51),0)</f>
        <v>1</v>
      </c>
      <c r="F52" s="22" t="n">
        <f aca="false">IFERROR(F49/(F49+F51),0)</f>
        <v>1</v>
      </c>
      <c r="G52" s="23" t="n">
        <f aca="false">IFERROR(G49/(G49+G51),0)</f>
        <v>1</v>
      </c>
      <c r="H52" s="24" t="n">
        <f aca="false">AVERAGE(B52:F52)</f>
        <v>1</v>
      </c>
    </row>
    <row r="53" customFormat="false" ht="15" hidden="false" customHeight="false" outlineLevel="0" collapsed="false">
      <c r="A53" s="20" t="s">
        <v>4</v>
      </c>
      <c r="B53" s="22" t="n">
        <f aca="false">IFERROR(B49/(B49+B50),0)</f>
        <v>0.325581395348837</v>
      </c>
      <c r="C53" s="22" t="n">
        <f aca="false">IFERROR(C49/(C49+C50),0)</f>
        <v>0.186046511627907</v>
      </c>
      <c r="D53" s="22" t="n">
        <f aca="false">IFERROR(D49/(D49+D50),0)</f>
        <v>0.465116279069767</v>
      </c>
      <c r="E53" s="22" t="n">
        <f aca="false">IFERROR(E49/(E49+E50),0)</f>
        <v>0.186046511627907</v>
      </c>
      <c r="F53" s="22" t="n">
        <f aca="false">IFERROR(F49/(F49+F50),0)</f>
        <v>0.581395348837209</v>
      </c>
      <c r="G53" s="23" t="n">
        <f aca="false">IFERROR(G49/(G49+G50),0)</f>
        <v>1</v>
      </c>
      <c r="H53" s="24" t="n">
        <f aca="false">AVERAGE(B53:F53)</f>
        <v>0.348837209302326</v>
      </c>
    </row>
    <row r="54" customFormat="false" ht="15" hidden="false" customHeight="false" outlineLevel="0" collapsed="false">
      <c r="A54" s="20" t="s">
        <v>5</v>
      </c>
      <c r="B54" s="22" t="n">
        <f aca="false">IFERROR(2*B52*B53/(B52+B53),0)</f>
        <v>0.491228070175439</v>
      </c>
      <c r="C54" s="22" t="n">
        <f aca="false">IFERROR(2*C52*C53/(C52+C53),0)</f>
        <v>0.313725490196079</v>
      </c>
      <c r="D54" s="22" t="n">
        <f aca="false">IFERROR(2*D52*D53/(D52+D53),0)</f>
        <v>0.634920634920635</v>
      </c>
      <c r="E54" s="22" t="n">
        <f aca="false">IFERROR(2*E52*E53/(E52+E53),0)</f>
        <v>0.313725490196079</v>
      </c>
      <c r="F54" s="22" t="n">
        <f aca="false">IFERROR(2*F52*F53/(F52+F53),0)</f>
        <v>0.735294117647059</v>
      </c>
      <c r="G54" s="23" t="n">
        <f aca="false">IFERROR(2*G52*G53/(G52+G53),0)</f>
        <v>1</v>
      </c>
      <c r="H54" s="24" t="n">
        <f aca="false">AVERAGE(B54:F54)</f>
        <v>0.497778760627058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2026-06-21T04:55:44Z</dcterms:created>
  <dc:creator>openpyxl</dc:creator>
  <dc:description/>
  <dc:language>en-US</dc:language>
  <cp:lastModifiedBy/>
  <dcterms:modified xsi:type="dcterms:W3CDTF">2026-06-21T04:55:44Z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